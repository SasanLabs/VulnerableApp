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155" firstSheet="1" activeTab="2"/>
  </bookViews>
  <sheets>
    <sheet name="DOCKERS_RAWDATA" sheetId="1" r:id="rId1"/>
    <sheet name="DOCKERS_TABLE" sheetId="2" r:id="rId2"/>
    <sheet name="DOCKERS_DASHBOARD" sheetId="4" r:id="rId3"/>
  </sheets>
  <definedNames>
    <definedName name="Slicer_repo">#N/A</definedName>
    <definedName name="Slicer_month">#N/A</definedName>
    <definedName name="Connection" localSheetId="0">DOCKERS_RAWDATA!$A$1:$A$144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nection" type="4" background="1" refreshedVersion="2" saveData="1">
    <webPr parsePre="1" consecutive="1" xl2000="1" url="https://raw.githubusercontent.com/SasanLabs/VulnerableApp/refs/heads/master/metrics/docker.csv"/>
  </connection>
</connections>
</file>

<file path=xl/sharedStrings.xml><?xml version="1.0" encoding="utf-8"?>
<sst xmlns="http://schemas.openxmlformats.org/spreadsheetml/2006/main" count="745" uniqueCount="289">
  <si>
    <t>repo,timestamp,docker_image,pull_count,last_updated,stars,forks,official,automated</t>
  </si>
  <si>
    <t>owasp-vulnerableapp,2026-02-28T23:21:27Z,sasanlabs/owasp-vulnerableapp,53469,2026-02-28T23:21:18.660757Z,2,0,false,false</t>
  </si>
  <si>
    <t>owasp-vulnerableapp-facade,2026-02-28T23:21:27Z,sasanlabs/owasp-vulnerableapp-facade,28130,2026-02-19T18:57:56.113035Z,1,0,false,false</t>
  </si>
  <si>
    <t>owasp-vulnerableapp,2026-02-28T23:22:01Z,sasanlabs/owasp-vulnerableapp,53469,2026-02-28T23:21:18.660757Z,2,0,false,false</t>
  </si>
  <si>
    <t>owasp-vulnerableapp-facade,2026-02-28T23:22:01Z,sasanlabs/owasp-vulnerableapp-facade,28130,2026-02-19T18:57:56.113035Z,1,0,false,false</t>
  </si>
  <si>
    <t>owasp-vulnerableapp,2026-03-01T03:36:03Z,sasanlabs/owasp-vulnerableapp,53735,2026-02-28T23:23:10.775075Z,2,0,false,false</t>
  </si>
  <si>
    <t>owasp-vulnerableapp-facade,2026-03-01T03:36:03Z,sasanlabs/owasp-vulnerableapp-facade,28132,2026-02-19T18:57:56.113035Z,1,0,false,false</t>
  </si>
  <si>
    <t>owasp-vulnerableapp,2026-03-02T03:25:36Z,sasanlabs/owasp-vulnerableapp,53836,2026-03-01T03:37:29.453856Z,2,0,false,false</t>
  </si>
  <si>
    <t>owasp-vulnerableapp-facade,2026-03-02T03:25:36Z,sasanlabs/owasp-vulnerableapp-facade,28154,2026-02-19T18:57:56.113035Z,1,0,false,false</t>
  </si>
  <si>
    <t>owasp-vulnerableapp,2026-03-03T03:28:05Z,sasanlabs/owasp-vulnerableapp,53960,2026-03-02T03:26:44.947934Z,2,0,false,false</t>
  </si>
  <si>
    <t>owasp-vulnerableapp-facade,2026-03-03T03:28:05Z,sasanlabs/owasp-vulnerableapp-facade,28179,2026-02-19T18:57:56.113035Z,1,0,false,false</t>
  </si>
  <si>
    <t>owasp-vulnerableapp,2026-03-04T03:19:36Z,sasanlabs/owasp-vulnerableapp,54056,2026-03-03T03:29:19.962078Z,2,0,false,false</t>
  </si>
  <si>
    <t>owasp-vulnerableapp-facade,2026-03-04T03:19:36Z,sasanlabs/owasp-vulnerableapp-facade,28204,2026-02-19T18:57:56.113035Z,1,0,false,false</t>
  </si>
  <si>
    <t>owasp-vulnerableapp,2026-03-05T03:24:09Z,sasanlabs/owasp-vulnerableapp,54180,2026-03-04T03:20:40.136594Z,2,0,false,false</t>
  </si>
  <si>
    <t>owasp-vulnerableapp-facade,2026-03-05T03:24:09Z,sasanlabs/owasp-vulnerableapp-facade,28243,2026-02-19T18:57:56.113035Z,1,0,false,false</t>
  </si>
  <si>
    <t>owasp-vulnerableapp,2026-03-06T03:22:43Z,sasanlabs/owasp-vulnerableapp,54306,2026-03-05T03:26:29.353395Z,2,0,false,false</t>
  </si>
  <si>
    <t>owasp-vulnerableapp-facade,2026-03-06T03:22:43Z,sasanlabs/owasp-vulnerableapp-facade,28278,2026-02-19T18:57:56.113035Z,1,0,false,false</t>
  </si>
  <si>
    <t>owasp-vulnerableapp,2026-03-07T03:09:30Z,sasanlabs/owasp-vulnerableapp,54450,2026-03-06T03:23:50.763357Z,2,0,false,false</t>
  </si>
  <si>
    <t>owasp-vulnerableapp-facade,2026-03-07T03:09:30Z,sasanlabs/owasp-vulnerableapp-facade,28295,2026-02-19T18:57:56.113035Z,1,0,false,false</t>
  </si>
  <si>
    <t>owasp-vulnerableapp,2026-03-08T02:09:48Z,sasanlabs/owasp-vulnerableapp,54683,2026-03-08T00:18:08.46786Z,2,0,false,false</t>
  </si>
  <si>
    <t>owasp-vulnerableapp-facade,2026-03-08T02:09:48Z,sasanlabs/owasp-vulnerableapp-facade,28314,2026-02-19T18:57:56.113035Z,1,0,false,false</t>
  </si>
  <si>
    <t>owasp-vulnerableapp,2026-03-08T03:26:01Z,sasanlabs/owasp-vulnerableapp,54776,2026-03-08T02:11:02.459039Z,2,0,false,false</t>
  </si>
  <si>
    <t>owasp-vulnerableapp-facade,2026-03-08T03:26:01Z,sasanlabs/owasp-vulnerableapp-facade,28314,2026-02-19T18:57:56.113035Z,1,0,false,false</t>
  </si>
  <si>
    <t>owasp-vulnerableapp,2026-03-09T03:29:28Z,sasanlabs/owasp-vulnerableapp,54878,2026-03-08T03:27:48.24069Z,2,0,false,false</t>
  </si>
  <si>
    <t>owasp-vulnerableapp-facade,2026-03-09T03:29:28Z,sasanlabs/owasp-vulnerableapp-facade,28330,2026-02-19T18:57:56.113035Z,1,0,false,false</t>
  </si>
  <si>
    <t>owasp-vulnerableapp,2026-03-10T03:20:27Z,sasanlabs/owasp-vulnerableapp,54976,2026-03-09T03:30:44.093989Z,2,0,false,false</t>
  </si>
  <si>
    <t>owasp-vulnerableapp-facade,2026-03-10T03:20:27Z,sasanlabs/owasp-vulnerableapp-facade,28377,2026-02-19T18:57:56.113035Z,1,0,false,false</t>
  </si>
  <si>
    <t>owasp-vulnerableapp,2026-03-11T03:20:09Z,sasanlabs/owasp-vulnerableapp,55133,2026-03-10T20:43:48.258435Z,2,0,false,false</t>
  </si>
  <si>
    <t>owasp-vulnerableapp-facade,2026-03-11T03:20:09Z,sasanlabs/owasp-vulnerableapp-facade,28411,2026-02-19T18:57:56.113035Z,1,0,false,false</t>
  </si>
  <si>
    <t>owasp-vulnerableapp,2026-03-12T03:27:26Z,sasanlabs/owasp-vulnerableapp,55238,2026-03-11T03:21:27.353461Z,2,0,false,false</t>
  </si>
  <si>
    <t>owasp-vulnerableapp-facade,2026-03-12T03:27:26Z,sasanlabs/owasp-vulnerableapp-facade,28435,2026-02-19T18:57:56.113035Z,1,0,false,false</t>
  </si>
  <si>
    <t>owasp-vulnerableapp,2026-03-13T03:23:33Z,sasanlabs/owasp-vulnerableapp,55320,2026-03-12T03:28:32.646081Z,2,0,false,false</t>
  </si>
  <si>
    <t>owasp-vulnerableapp-facade,2026-03-13T03:23:33Z,sasanlabs/owasp-vulnerableapp-facade,28458,2026-02-19T18:57:56.113035Z,1,0,false,false</t>
  </si>
  <si>
    <t>owasp-vulnerableapp,2026-03-14T03:21:25Z,sasanlabs/owasp-vulnerableapp,55400,2026-03-13T03:25:14.078264Z,2,0,false,false</t>
  </si>
  <si>
    <t>owasp-vulnerableapp-facade,2026-03-14T03:21:25Z,sasanlabs/owasp-vulnerableapp-facade,28474,2026-02-19T18:57:56.113035Z,1,0,false,false</t>
  </si>
  <si>
    <t>owasp-vulnerableapp,2026-03-15T00:23:44Z,sasanlabs/owasp-vulnerableapp,55782,2026-03-14T21:53:07.845253Z,2,0,false,false</t>
  </si>
  <si>
    <t>owasp-vulnerableapp-facade,2026-03-15T00:23:44Z,sasanlabs/owasp-vulnerableapp-facade,28492,2026-02-19T18:57:56.113035Z,1,0,false,false</t>
  </si>
  <si>
    <t>owasp-vulnerableapp,2026-03-15T02:17:40Z,sasanlabs/owasp-vulnerableapp,55841,2026-03-15T00:24:55.693109Z,2,0,false,false</t>
  </si>
  <si>
    <t>owasp-vulnerableapp-facade,2026-03-15T02:17:40Z,sasanlabs/owasp-vulnerableapp-facade,28495,2026-02-19T18:57:56.113035Z,1,0,false,false</t>
  </si>
  <si>
    <t>owasp-vulnerableapp,2026-03-15T03:45:50Z,sasanlabs/owasp-vulnerableapp,55928,2026-03-15T02:18:59.984701Z,2,0,false,false</t>
  </si>
  <si>
    <t>owasp-vulnerableapp-facade,2026-03-15T03:45:50Z,sasanlabs/owasp-vulnerableapp-facade,28495,2026-02-19T18:57:56.113035Z,1,0,false,false</t>
  </si>
  <si>
    <t>owasp-vulnerableapp,2026-03-15T04:03:51Z,sasanlabs/owasp-vulnerableapp,55953,2026-03-15T03:47:04.146415Z,2,0,false,false</t>
  </si>
  <si>
    <t>owasp-vulnerableapp-facade,2026-03-15T04:03:51Z,sasanlabs/owasp-vulnerableapp-facade,28497,2026-02-19T18:57:56.113035Z,1,0,false,false</t>
  </si>
  <si>
    <t>owasp-vulnerableapp,2026-03-15T04:17:05Z,sasanlabs/owasp-vulnerableapp,55974,2026-03-15T04:16:57.545871Z,2,0,false,false</t>
  </si>
  <si>
    <t>owasp-vulnerableapp-facade,2026-03-15T04:17:05Z,sasanlabs/owasp-vulnerableapp-facade,28497,2026-02-19T18:57:56.113035Z,1,0,false,false</t>
  </si>
  <si>
    <t>owasp-vulnerableapp,2026-03-15T04:19:16Z,sasanlabs/owasp-vulnerableapp,55979,2026-03-15T04:18:09.794826Z,2,0,false,false</t>
  </si>
  <si>
    <t>owasp-vulnerableapp-facade,2026-03-15T04:19:16Z,sasanlabs/owasp-vulnerableapp-facade,28497,2026-02-19T18:57:56.113035Z,1,0,false,false</t>
  </si>
  <si>
    <t>owasp-vulnerableapp,2026-03-16T03:49:39Z,sasanlabs/owasp-vulnerableapp,56325,2026-03-15T19:40:07.900495Z,2,0,false,false</t>
  </si>
  <si>
    <t>owasp-vulnerableapp-facade,2026-03-16T03:49:39Z,sasanlabs/owasp-vulnerableapp-facade,28522,2026-02-19T18:57:56.113035Z,1,0,false,false</t>
  </si>
  <si>
    <t>owasp-vulnerableapp,2026-03-16T23:57:52Z,sasanlabs/owasp-vulnerableapp,56566,2026-03-16T19:58:43.010515Z,2,0,false,false</t>
  </si>
  <si>
    <t>llmforge,2026-03-16T23:57:52Z,sasanlabs/llmforge,221,2026-03-16T20:02:39.010314Z,1,0,false,false</t>
  </si>
  <si>
    <t>owasp-vulnerableapp,2026-03-17T00:09:06Z,sasanlabs/owasp-vulnerableapp,56574,2026-03-16T23:59:14.972892Z,2,0,false,false</t>
  </si>
  <si>
    <t>owasp-vulnerableapp-facade,2026-03-17T00:09:06Z,sasanlabs/owasp-vulnerableapp-facade,28702,2026-03-16T20:06:40.531055Z,1,0,false,false</t>
  </si>
  <si>
    <t>llmforge,2026-03-17T00:09:06Z,sasanlabs/llmforge,221,2026-03-16T20:02:39.010314Z,1,0,false,false</t>
  </si>
  <si>
    <t>owasp-vulnerableapp,2026-03-17T03:27:47Z,sasanlabs/owasp-vulnerableapp,56663,2026-03-17T00:10:20.361776Z,2,0,false,false</t>
  </si>
  <si>
    <t>owasp-vulnerableapp-facade,2026-03-17T03:27:47Z,sasanlabs/owasp-vulnerableapp-facade,28714,2026-03-16T20:06:40.531055Z,1,0,false,false</t>
  </si>
  <si>
    <t>llmforge,2026-03-17T03:27:47Z,sasanlabs/llmforge,223,2026-03-16T20:02:39.010314Z,1,0,false,false</t>
  </si>
  <si>
    <t>owasp-vulnerableapp,2026-03-18T03:34:48Z,sasanlabs/owasp-vulnerableapp,56779,2026-03-17T03:29:03.8476Z,2,0,false,false</t>
  </si>
  <si>
    <t>owasp-vulnerableapp-facade,2026-03-18T03:34:48Z,sasanlabs/owasp-vulnerableapp-facade,28767,2026-03-16T20:06:40.531055Z,1,0,false,false</t>
  </si>
  <si>
    <t>llmforge,2026-03-18T03:34:48Z,sasanlabs/llmforge,258,2026-03-16T20:02:39.010314Z,1,0,false,false</t>
  </si>
  <si>
    <t>owasp-vulnerableapp,2026-03-18T17:23:16Z,sasanlabs/owasp-vulnerableapp,56877,2026-03-18T03:36:00.375609Z,2,0,false,false</t>
  </si>
  <si>
    <t>owasp-vulnerableapp-facade,2026-03-18T17:23:16Z,sasanlabs/owasp-vulnerableapp-facade,28798,2026-03-16T20:06:40.531055Z,1,0,false,false</t>
  </si>
  <si>
    <t>llmforge,2026-03-18T17:23:16Z,sasanlabs/llmforge,260,2026-03-16T20:02:39.010314Z,1,0,false,false</t>
  </si>
  <si>
    <t>owasp-vulnerableapp,2026-03-19T03:34:45Z,sasanlabs/owasp-vulnerableapp,56938,2026-03-18T17:24:30.428096Z,2,0,false,false</t>
  </si>
  <si>
    <t>owasp-vulnerableapp-facade,2026-03-19T03:34:45Z,sasanlabs/owasp-vulnerableapp-facade,28817,2026-03-16T20:06:40.531055Z,1,0,false,false</t>
  </si>
  <si>
    <t>llmforge,2026-03-19T03:34:45Z,sasanlabs/llmforge,263,2026-03-16T20:02:39.010314Z,1,0,false,false</t>
  </si>
  <si>
    <t>owasp-vulnerableapp,2026-03-19T17:05:39Z,sasanlabs/owasp-vulnerableapp,57023,2026-03-19T03:36:04.948634Z,2,0,false,false</t>
  </si>
  <si>
    <t>owasp-vulnerableapp-facade,2026-03-19T17:05:39Z,sasanlabs/owasp-vulnerableapp-facade,28847,2026-03-16T20:06:40.531055Z,1,0,false,false</t>
  </si>
  <si>
    <t>llmforge,2026-03-19T17:05:39Z,sasanlabs/llmforge,267,2026-03-16T20:02:39.010314Z,1,0,false,false</t>
  </si>
  <si>
    <t>owasp-vulnerableapp,2026-03-20T03:25:01Z,sasanlabs/owasp-vulnerableapp,57049,2026-03-19T17:07:39.827987Z,2,0,false,false</t>
  </si>
  <si>
    <t>owasp-vulnerableapp-facade,2026-03-20T03:25:01Z,sasanlabs/owasp-vulnerableapp-facade,28856,2026-03-16T20:06:40.531055Z,1,0,false,false</t>
  </si>
  <si>
    <t>llmforge,2026-03-20T03:25:01Z,sasanlabs/llmforge,269,2026-03-16T20:02:39.010314Z,1,0,false,false</t>
  </si>
  <si>
    <t>owasp-vulnerableapp,2026-03-21T03:13:29Z,sasanlabs/owasp-vulnerableapp,57144,2026-03-20T03:26:15.30761Z,2,0,false,false</t>
  </si>
  <si>
    <t>owasp-vulnerableapp-facade,2026-03-21T03:13:29Z,sasanlabs/owasp-vulnerableapp-facade,28883,2026-03-16T20:06:40.531055Z,1,0,false,false</t>
  </si>
  <si>
    <t>llmforge,2026-03-21T03:13:29Z,sasanlabs/llmforge,279,2026-03-16T20:02:39.010314Z,1,0,false,false</t>
  </si>
  <si>
    <t>owasp-vulnerableapp,2026-03-22T03:34:00Z,sasanlabs/owasp-vulnerableapp,57257,2026-03-21T03:14:45.345669Z,2,0,false,false</t>
  </si>
  <si>
    <t>owasp-vulnerableapp-facade,2026-03-22T03:34:00Z,sasanlabs/owasp-vulnerableapp-facade,28912,2026-03-16T20:06:40.531055Z,1,0,false,false</t>
  </si>
  <si>
    <t>llmforge,2026-03-22T03:34:00Z,sasanlabs/llmforge,331,2026-03-22T02:07:37.917378Z,1,0,false,false</t>
  </si>
  <si>
    <t>owasp-vulnerableapp,2026-03-23T03:38:22Z,sasanlabs/owasp-vulnerableapp,57440,2026-03-22T21:25:56.296324Z,2,0,false,false</t>
  </si>
  <si>
    <t>owasp-vulnerableapp-facade,2026-03-23T03:38:22Z,sasanlabs/owasp-vulnerableapp-facade,28940,2026-03-16T20:06:40.531055Z,1,0,false,false</t>
  </si>
  <si>
    <t>llmforge,2026-03-23T03:38:22Z,sasanlabs/llmforge,336,2026-03-22T02:07:37.917378Z,1,0,false,false</t>
  </si>
  <si>
    <t>owasp-vulnerableapp,2026-03-24T03:29:21Z,sasanlabs/owasp-vulnerableapp,57604,2026-03-23T17:32:27.342321Z,2,0,false,false</t>
  </si>
  <si>
    <t>owasp-vulnerableapp-facade,2026-03-24T03:29:21Z,sasanlabs/owasp-vulnerableapp-facade,29065,2026-03-23T19:42:54.987107Z,1,0,false,false</t>
  </si>
  <si>
    <t>llmforge,2026-03-24T03:29:21Z,sasanlabs/llmforge,383,2026-03-23T04:37:40.02554Z,1,0,false,false</t>
  </si>
  <si>
    <t>owasp-vulnerableapp,2026-03-25T03:32:37Z,sasanlabs/owasp-vulnerableapp,57711,2026-03-24T03:30:31.916299Z,2,0,false,false</t>
  </si>
  <si>
    <t>owasp-vulnerableapp-facade,2026-03-25T03:32:37Z,sasanlabs/owasp-vulnerableapp-facade,29098,2026-03-23T19:42:54.987107Z,1,0,false,false</t>
  </si>
  <si>
    <t>llmforge,2026-03-25T03:32:37Z,sasanlabs/llmforge,400,2026-03-23T04:37:40.02554Z,1,0,false,false</t>
  </si>
  <si>
    <t>owasp-vulnerableapp,2026-03-26T01:16:04Z,sasanlabs/owasp-vulnerableapp,57833,2026-03-25T19:16:15.449859Z,2,0,false,false</t>
  </si>
  <si>
    <t>owasp-vulnerableapp-facade,2026-03-26T01:16:04Z,sasanlabs/owasp-vulnerableapp-facade,29111,2026-03-23T19:42:54.987107Z,1,0,false,false</t>
  </si>
  <si>
    <t>llmforge,2026-03-26T01:16:04Z,sasanlabs/llmforge,403,2026-03-23T04:37:40.02554Z,1,0,false,false</t>
  </si>
  <si>
    <t>owasp-vulnerableapp,2026-03-26T03:42:11Z,sasanlabs/owasp-vulnerableapp,57891,2026-03-26T01:17:21.094454Z,2,0,false,false</t>
  </si>
  <si>
    <t>owasp-vulnerableapp-facade,2026-03-26T03:42:11Z,sasanlabs/owasp-vulnerableapp-facade,29112,2026-03-23T19:42:54.987107Z,1,0,false,false</t>
  </si>
  <si>
    <t>llmforge,2026-03-26T03:42:11Z,sasanlabs/llmforge,403,2026-03-23T04:37:40.02554Z,1,0,false,false</t>
  </si>
  <si>
    <t>owasp-vulnerableapp,2026-03-27T03:44:35Z,sasanlabs/owasp-vulnerableapp,57982,2026-03-26T03:43:14.512775Z,2,0,false,false</t>
  </si>
  <si>
    <t>owasp-vulnerableapp-facade,2026-03-27T03:44:35Z,sasanlabs/owasp-vulnerableapp-facade,29139,2026-03-23T19:42:54.987107Z,1,0,false,false</t>
  </si>
  <si>
    <t>llmforge,2026-03-27T03:44:35Z,sasanlabs/llmforge,409,2026-03-23T04:37:40.02554Z,1,0,false,false</t>
  </si>
  <si>
    <t>owasp-vulnerableapp,2026-03-28T03:30:31Z,sasanlabs/owasp-vulnerableapp,58095,2026-03-27T03:45:43.925329Z,2,0,false,false</t>
  </si>
  <si>
    <t>owasp-vulnerableapp-facade,2026-03-28T03:30:31Z,sasanlabs/owasp-vulnerableapp-facade,29175,2026-03-23T19:42:54.987107Z,1,0,false,false</t>
  </si>
  <si>
    <t>llmforge,2026-03-28T03:30:31Z,sasanlabs/llmforge,410,2026-03-23T04:37:40.02554Z,1,0,false,false</t>
  </si>
  <si>
    <t>owasp-vulnerableapp,2026-03-29T03:51:03Z,sasanlabs/owasp-vulnerableapp,58348,2026-03-29T01:12:11.241056Z,2,0,false,false</t>
  </si>
  <si>
    <t>owasp-vulnerableapp-facade,2026-03-29T03:51:03Z,sasanlabs/owasp-vulnerableapp-facade,29186,2026-03-23T19:42:54.987107Z,1,0,false,false</t>
  </si>
  <si>
    <t>llmforge,2026-03-29T03:51:03Z,sasanlabs/llmforge,411,2026-03-23T04:37:40.02554Z,1,0,false,false</t>
  </si>
  <si>
    <t>owasp-vulnerableapp,2026-03-30T03:53:59Z,sasanlabs/owasp-vulnerableapp,58567,2026-03-29T22:10:55.759905Z,2,0,false,false</t>
  </si>
  <si>
    <t>owasp-vulnerableapp-facade,2026-03-30T03:53:59Z,sasanlabs/owasp-vulnerableapp-facade,29498,2026-03-29T23:57:13.425641Z,1,0,false,false</t>
  </si>
  <si>
    <t>llmforge,2026-03-30T03:53:59Z,sasanlabs/llmforge,427,2026-03-23T04:37:40.02554Z,1,0,false,false</t>
  </si>
  <si>
    <t>owasp-vulnerableapp,2026-03-31T03:44:56Z,sasanlabs/owasp-vulnerableapp,58730,2026-03-30T03:56:32.194675Z,2,0,false,false</t>
  </si>
  <si>
    <t>owasp-vulnerableapp-facade,2026-03-31T03:44:56Z,sasanlabs/owasp-vulnerableapp-facade,29548,2026-03-29T23:57:13.425641Z,1,0,false,false</t>
  </si>
  <si>
    <t>llmforge,2026-03-31T03:44:56Z,sasanlabs/llmforge,441,2026-03-23T04:37:40.02554Z,1,0,false,false</t>
  </si>
  <si>
    <t>owasp-vulnerableapp,2026-04-01T03:57:11Z,sasanlabs/owasp-vulnerableapp,58847,2026-03-31T03:47:19.214781Z,2,0,false,false</t>
  </si>
  <si>
    <t>owasp-vulnerableapp-facade,2026-04-01T03:57:11Z,sasanlabs/owasp-vulnerableapp-facade,29582,2026-03-29T23:57:13.425641Z,1,0,false,false</t>
  </si>
  <si>
    <t>llmforge,2026-04-01T03:57:11Z,sasanlabs/llmforge,449,2026-03-23T04:37:40.02554Z,1,0,false,false</t>
  </si>
  <si>
    <t>owasp-vulnerableapp,2026-04-02T03:38:20Z,sasanlabs/owasp-vulnerableapp,59075,2026-04-01T03:59:44.321879Z,2,0,false,false</t>
  </si>
  <si>
    <t>owasp-vulnerableapp-facade,2026-04-02T03:38:20Z,sasanlabs/owasp-vulnerableapp-facade,29598,2026-03-29T23:57:13.425641Z,1,0,false,false</t>
  </si>
  <si>
    <t>llmforge,2026-04-02T03:38:20Z,sasanlabs/llmforge,451,2026-03-23T04:37:40.02554Z,1,0,false,false</t>
  </si>
  <si>
    <t>owasp-vulnerableapp,2026-04-03T03:39:52Z,sasanlabs/owasp-vulnerableapp,59193,2026-04-02T03:41:01.547785Z,2,0,false,false</t>
  </si>
  <si>
    <t>owasp-vulnerableapp-facade,2026-04-03T03:39:52Z,sasanlabs/owasp-vulnerableapp-facade,29635,2026-03-29T23:57:13.425641Z,1,0,false,false</t>
  </si>
  <si>
    <t>llmforge,2026-04-03T03:39:52Z,sasanlabs/llmforge,454,2026-03-23T04:37:40.02554Z,1,0,false,false</t>
  </si>
  <si>
    <t>owasp-vulnerableapp,2026-04-04T03:27:36Z,sasanlabs/owasp-vulnerableapp,59290,2026-04-03T03:42:30.434959Z,2,0,false,false</t>
  </si>
  <si>
    <t>owasp-vulnerableapp-facade,2026-04-04T03:27:36Z,sasanlabs/owasp-vulnerableapp-facade,29654,2026-03-29T23:57:13.425641Z,1,0,false,false</t>
  </si>
  <si>
    <t>llmforge,2026-04-04T03:27:36Z,sasanlabs/llmforge,454,2026-03-23T04:37:40.02554Z,1,0,false,false</t>
  </si>
  <si>
    <t>owasp-vulnerableapp,2026-04-05T03:49:19Z,sasanlabs/owasp-vulnerableapp,59385,2026-04-04T03:30:06.316915Z,2,0,false,false</t>
  </si>
  <si>
    <t>owasp-vulnerableapp-facade,2026-04-05T03:49:19Z,sasanlabs/owasp-vulnerableapp-facade,29676,2026-03-29T23:57:13.425641Z,1,0,false,false</t>
  </si>
  <si>
    <t>llmforge,2026-04-05T03:49:19Z,sasanlabs/llmforge,455,2026-03-23T04:37:40.02554Z,1,0,false,false</t>
  </si>
  <si>
    <t>owasp-vulnerableapp,2026-04-06T03:53:00Z,sasanlabs/owasp-vulnerableapp,59470,2026-04-05T03:51:37.998255Z,2,0,false,false</t>
  </si>
  <si>
    <t>owasp-vulnerableapp-facade,2026-04-06T03:53:00Z,sasanlabs/owasp-vulnerableapp-facade,29774,2026-03-29T23:57:13.425641Z,1,0,false,false</t>
  </si>
  <si>
    <t>llmforge,2026-04-06T03:53:00Z,sasanlabs/llmforge,460,2026-03-23T04:37:40.02554Z,1,0,false,false</t>
  </si>
  <si>
    <t>owasp-vulnerableapp,2026-04-07T03:43:53Z,sasanlabs/owasp-vulnerableapp,59713,2026-04-07T00:55:14.364003Z,2,0,false,false</t>
  </si>
  <si>
    <t>owasp-vulnerableapp-facade,2026-04-07T03:43:53Z,sasanlabs/owasp-vulnerableapp-facade,29892,2026-04-07T01:07:25.922462Z,1,0,false,false</t>
  </si>
  <si>
    <t>llmforge,2026-04-07T03:43:53Z,sasanlabs/llmforge,493,2026-04-07T00:59:26.214098Z,1,0,false,false</t>
  </si>
  <si>
    <t>owasp-vulnerableapp,2026-04-08T03:46:05Z,sasanlabs/owasp-vulnerableapp,59981,2026-04-07T18:55:22.098278Z,2,0,false,false</t>
  </si>
  <si>
    <t>owasp-vulnerableapp-facade,2026-04-08T03:46:05Z,sasanlabs/owasp-vulnerableapp-facade,29928,2026-04-07T01:07:25.922462Z,1,0,false,false</t>
  </si>
  <si>
    <t>llmforge,2026-04-08T03:46:05Z,sasanlabs/llmforge,500,2026-04-07T00:59:26.214098Z,1,0,false,false</t>
  </si>
  <si>
    <t>owasp-vulnerableapp,2026-04-08T20:13:43Z,sasanlabs/owasp-vulnerableapp,60091,2026-04-08T03:48:39.555124Z,2,0,false,false</t>
  </si>
  <si>
    <t>owasp-vulnerableapp-facade,2026-04-08T20:13:43Z,sasanlabs/owasp-vulnerableapp-facade,29948,2026-04-07T01:07:25.922462Z,1,0,false,false</t>
  </si>
  <si>
    <t>llmforge,2026-04-08T20:13:43Z,sasanlabs/llmforge,502,2026-04-07T00:59:26.214098Z,1,0,false,false</t>
  </si>
  <si>
    <t>owasp-vulnerableapp,2026-04-09T03:41:17Z,sasanlabs/owasp-vulnerableapp,60146,2026-04-08T20:16:04.489238Z,2,0,false,false</t>
  </si>
  <si>
    <t>owasp-vulnerableapp-facade,2026-04-09T03:41:17Z,sasanlabs/owasp-vulnerableapp-facade,30019,2026-04-09T01:27:03.984543Z,1,0,false,false</t>
  </si>
  <si>
    <t>llmforge,2026-04-09T03:41:17Z,sasanlabs/llmforge,509,2026-04-07T00:59:26.214098Z,1,0,false,false</t>
  </si>
  <si>
    <t>owasp-vulnerableapp,2026-04-10T03:55:02Z,sasanlabs/owasp-vulnerableapp,60278,2026-04-09T16:38:14.444851Z,2,0,false,false</t>
  </si>
  <si>
    <t>owasp-vulnerableapp-facade,2026-04-10T03:55:02Z,sasanlabs/owasp-vulnerableapp-facade,30058,2026-04-09T01:27:03.984543Z,1,0,false,false</t>
  </si>
  <si>
    <t>llmforge,2026-04-10T03:55:02Z,sasanlabs/llmforge,540,2026-04-09T18:07:04.348393Z,1,0,false,false</t>
  </si>
  <si>
    <t>owasp-vulnerableapp,2026-04-11T03:31:29Z,sasanlabs/owasp-vulnerableapp,60444,2026-04-10T03:57:20.667765Z,2,0,false,false</t>
  </si>
  <si>
    <t>owasp-vulnerableapp-facade,2026-04-11T03:31:29Z,sasanlabs/owasp-vulnerableapp-facade,30087,2026-04-09T01:27:03.984543Z,1,0,false,false</t>
  </si>
  <si>
    <t>llmforge,2026-04-11T03:31:29Z,sasanlabs/llmforge,549,2026-04-09T18:07:04.348393Z,1,0,false,false</t>
  </si>
  <si>
    <t>repo</t>
  </si>
  <si>
    <t>date</t>
  </si>
  <si>
    <t>month</t>
  </si>
  <si>
    <t>time</t>
  </si>
  <si>
    <t>docker_image</t>
  </si>
  <si>
    <t>pull_count</t>
  </si>
  <si>
    <t>last_updated</t>
  </si>
  <si>
    <t>stars</t>
  </si>
  <si>
    <t>forks</t>
  </si>
  <si>
    <t>official</t>
  </si>
  <si>
    <t>automated</t>
  </si>
  <si>
    <t>PULL COUNT</t>
  </si>
  <si>
    <t>owasp-vulnerableapp</t>
  </si>
  <si>
    <t>23:21:27Z</t>
  </si>
  <si>
    <t>sasanlabs/owasp-vulnerableapp</t>
  </si>
  <si>
    <t>2026-02-28T23:21:18.660757Z</t>
  </si>
  <si>
    <t>llmforge</t>
  </si>
  <si>
    <t>owasp-vulnerableapp-facade</t>
  </si>
  <si>
    <t>sasanlabs/owasp-vulnerableapp-facade</t>
  </si>
  <si>
    <t>2026-02-19T18:57:56.113035Z</t>
  </si>
  <si>
    <t>Feb-2026</t>
  </si>
  <si>
    <t>23:22:01Z</t>
  </si>
  <si>
    <t>Mar-2026</t>
  </si>
  <si>
    <t>03:36:03Z</t>
  </si>
  <si>
    <t>2026-02-28T23:23:10.775075Z</t>
  </si>
  <si>
    <t>03:25:36Z</t>
  </si>
  <si>
    <t>2026-03-01T03:37:29.453856Z</t>
  </si>
  <si>
    <t>03:28:05Z</t>
  </si>
  <si>
    <t>2026-03-02T03:26:44.947934Z</t>
  </si>
  <si>
    <t>03:19:36Z</t>
  </si>
  <si>
    <t>2026-03-03T03:29:19.962078Z</t>
  </si>
  <si>
    <t>03:24:09Z</t>
  </si>
  <si>
    <t>2026-03-04T03:20:40.136594Z</t>
  </si>
  <si>
    <t>03:22:43Z</t>
  </si>
  <si>
    <t>2026-03-05T03:26:29.353395Z</t>
  </si>
  <si>
    <t>03:09:30Z</t>
  </si>
  <si>
    <t>2026-03-06T03:23:50.763357Z</t>
  </si>
  <si>
    <t>02:09:48Z</t>
  </si>
  <si>
    <t>2026-03-08T00:18:08.46786Z</t>
  </si>
  <si>
    <t>03:26:01Z</t>
  </si>
  <si>
    <t>2026-03-08T02:11:02.459039Z</t>
  </si>
  <si>
    <t>03:29:28Z</t>
  </si>
  <si>
    <t>2026-03-08T03:27:48.24069Z</t>
  </si>
  <si>
    <t>03:20:27Z</t>
  </si>
  <si>
    <t>2026-03-09T03:30:44.093989Z</t>
  </si>
  <si>
    <t>03:20:09Z</t>
  </si>
  <si>
    <t>2026-03-10T20:43:48.258435Z</t>
  </si>
  <si>
    <t>03:27:26Z</t>
  </si>
  <si>
    <t>2026-03-11T03:21:27.353461Z</t>
  </si>
  <si>
    <t>03:23:33Z</t>
  </si>
  <si>
    <t>2026-03-12T03:28:32.646081Z</t>
  </si>
  <si>
    <t>03:21:25Z</t>
  </si>
  <si>
    <t>2026-03-13T03:25:14.078264Z</t>
  </si>
  <si>
    <t>00:23:44Z</t>
  </si>
  <si>
    <t>2026-03-14T21:53:07.845253Z</t>
  </si>
  <si>
    <t>Apr-2026</t>
  </si>
  <si>
    <t>02:17:40Z</t>
  </si>
  <si>
    <t>2026-03-15T00:24:55.693109Z</t>
  </si>
  <si>
    <t>03:45:50Z</t>
  </si>
  <si>
    <t>2026-03-15T02:18:59.984701Z</t>
  </si>
  <si>
    <t>04:03:51Z</t>
  </si>
  <si>
    <t>2026-03-15T03:47:04.146415Z</t>
  </si>
  <si>
    <t>04:17:05Z</t>
  </si>
  <si>
    <t>2026-03-15T04:16:57.545871Z</t>
  </si>
  <si>
    <t>04:19:16Z</t>
  </si>
  <si>
    <t>2026-03-15T04:18:09.794826Z</t>
  </si>
  <si>
    <t>03:49:39Z</t>
  </si>
  <si>
    <t>2026-03-15T19:40:07.900495Z</t>
  </si>
  <si>
    <t>23:57:52Z</t>
  </si>
  <si>
    <t>2026-03-16T19:58:43.010515Z</t>
  </si>
  <si>
    <t>sasanlabs/llmforge</t>
  </si>
  <si>
    <t>2026-03-16T20:02:39.010314Z</t>
  </si>
  <si>
    <t>00:09:06Z</t>
  </si>
  <si>
    <t>2026-03-16T23:59:14.972892Z</t>
  </si>
  <si>
    <t>2026-03-16T20:06:40.531055Z</t>
  </si>
  <si>
    <t>03:27:47Z</t>
  </si>
  <si>
    <t>2026-03-17T00:10:20.361776Z</t>
  </si>
  <si>
    <t>03:34:48Z</t>
  </si>
  <si>
    <t>2026-03-17T03:29:03.8476Z</t>
  </si>
  <si>
    <t>17:23:16Z</t>
  </si>
  <si>
    <t>2026-03-18T03:36:00.375609Z</t>
  </si>
  <si>
    <t>03:34:45Z</t>
  </si>
  <si>
    <t>2026-03-18T17:24:30.428096Z</t>
  </si>
  <si>
    <t>17:05:39Z</t>
  </si>
  <si>
    <t>2026-03-19T03:36:04.948634Z</t>
  </si>
  <si>
    <t>03:25:01Z</t>
  </si>
  <si>
    <t>2026-03-19T17:07:39.827987Z</t>
  </si>
  <si>
    <t>03:13:29Z</t>
  </si>
  <si>
    <t>2026-03-20T03:26:15.30761Z</t>
  </si>
  <si>
    <t>03:34:00Z</t>
  </si>
  <si>
    <t>2026-03-21T03:14:45.345669Z</t>
  </si>
  <si>
    <t>2026-03-22T02:07:37.917378Z</t>
  </si>
  <si>
    <t>03:38:22Z</t>
  </si>
  <si>
    <t>2026-03-22T21:25:56.296324Z</t>
  </si>
  <si>
    <t>03:29:21Z</t>
  </si>
  <si>
    <t>2026-03-23T17:32:27.342321Z</t>
  </si>
  <si>
    <t>2026-03-23T19:42:54.987107Z</t>
  </si>
  <si>
    <t>2026-03-23T04:37:40.02554Z</t>
  </si>
  <si>
    <t>03:32:37Z</t>
  </si>
  <si>
    <t>2026-03-24T03:30:31.916299Z</t>
  </si>
  <si>
    <t>01:16:04Z</t>
  </si>
  <si>
    <t>2026-03-25T19:16:15.449859Z</t>
  </si>
  <si>
    <t>03:42:11Z</t>
  </si>
  <si>
    <t>2026-03-26T01:17:21.094454Z</t>
  </si>
  <si>
    <t>03:44:35Z</t>
  </si>
  <si>
    <t>2026-03-26T03:43:14.512775Z</t>
  </si>
  <si>
    <t>03:30:31Z</t>
  </si>
  <si>
    <t>2026-03-27T03:45:43.925329Z</t>
  </si>
  <si>
    <t>03:51:03Z</t>
  </si>
  <si>
    <t>2026-03-29T01:12:11.241056Z</t>
  </si>
  <si>
    <t>03:53:59Z</t>
  </si>
  <si>
    <t>2026-03-29T22:10:55.759905Z</t>
  </si>
  <si>
    <t>2026-03-29T23:57:13.425641Z</t>
  </si>
  <si>
    <t>03:44:56Z</t>
  </si>
  <si>
    <t>2026-03-30T03:56:32.194675Z</t>
  </si>
  <si>
    <t>03:57:11Z</t>
  </si>
  <si>
    <t>2026-03-31T03:47:19.214781Z</t>
  </si>
  <si>
    <t>03:38:20Z</t>
  </si>
  <si>
    <t>2026-04-01T03:59:44.321879Z</t>
  </si>
  <si>
    <t>03:39:52Z</t>
  </si>
  <si>
    <t>2026-04-02T03:41:01.547785Z</t>
  </si>
  <si>
    <t>03:27:36Z</t>
  </si>
  <si>
    <t>2026-04-03T03:42:30.434959Z</t>
  </si>
  <si>
    <t>03:49:19Z</t>
  </si>
  <si>
    <t>2026-04-04T03:30:06.316915Z</t>
  </si>
  <si>
    <t>03:53:00Z</t>
  </si>
  <si>
    <t>2026-04-05T03:51:37.998255Z</t>
  </si>
  <si>
    <t>03:43:53Z</t>
  </si>
  <si>
    <t>2026-04-07T00:55:14.364003Z</t>
  </si>
  <si>
    <t>2026-04-07T01:07:25.922462Z</t>
  </si>
  <si>
    <t>2026-04-07T00:59:26.214098Z</t>
  </si>
  <si>
    <t>03:46:05Z</t>
  </si>
  <si>
    <t>2026-04-07T18:55:22.098278Z</t>
  </si>
  <si>
    <t>20:13:43Z</t>
  </si>
  <si>
    <t>2026-04-08T03:48:39.555124Z</t>
  </si>
  <si>
    <t>03:41:17Z</t>
  </si>
  <si>
    <t>2026-04-08T20:16:04.489238Z</t>
  </si>
  <si>
    <t>2026-04-09T01:27:03.984543Z</t>
  </si>
  <si>
    <t>03:55:02Z</t>
  </si>
  <si>
    <t>2026-04-09T16:38:14.444851Z</t>
  </si>
  <si>
    <t>2026-04-09T18:07:04.348393Z</t>
  </si>
  <si>
    <t>03:31:29Z</t>
  </si>
  <si>
    <t>2026-04-10T03:57:20.667765Z</t>
  </si>
  <si>
    <t>DOCKERS ANALYTICAL DATA</t>
  </si>
  <si>
    <t>PULL COUNT RECORD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</si>
</sst>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dd/mm/yyyy"/>
  </numFmts>
  <fonts count="27">
    <font>
      <sz val="11"/>
      <color theme="1"/>
      <name val="Calibri"/>
      <charset val="134"/>
      <scheme val="minor"/>
    </font>
    <font>
      <b/>
      <i/>
      <u/>
      <sz val="18"/>
      <color rgb="FF7030A0"/>
      <name val="Kristen ITC"/>
      <charset val="134"/>
    </font>
    <font>
      <b/>
      <u val="doubleAccounting"/>
      <sz val="22"/>
      <color theme="1"/>
      <name val="Kristen ITC"/>
      <charset val="134"/>
    </font>
    <font>
      <b/>
      <u/>
      <sz val="12"/>
      <color theme="1" tint="0.05"/>
      <name val="Lucida Calligraphy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1"/>
      <color theme="4"/>
      <name val="Comic Sans MS"/>
      <charset val="134"/>
    </font>
    <font>
      <sz val="11"/>
      <color rgb="FF016A7D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181" fontId="4" fillId="0" borderId="0" xfId="0" applyNumberFormat="1" applyFont="1" applyAlignment="1">
      <alignment horizontal="center" vertical="center" wrapText="1"/>
    </xf>
    <xf numFmtId="0" fontId="7" fillId="5" borderId="7" xfId="0" applyFont="1" applyFill="1" applyBorder="1">
      <alignment vertical="center"/>
    </xf>
    <xf numFmtId="180" fontId="7" fillId="5" borderId="7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9"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name val="Comic Sans MS"/>
        <scheme val="none"/>
      </font>
    </dxf>
    <dxf>
      <font>
        <name val="Comic Sans MS"/>
        <scheme val="none"/>
      </font>
    </dxf>
    <dxf>
      <font>
        <name val="Comic Sans MS"/>
        <scheme val="none"/>
      </font>
    </dxf>
    <dxf>
      <font>
        <name val="Comic Sans MS"/>
        <scheme val="none"/>
      </font>
    </dxf>
    <dxf>
      <font>
        <name val="Comic Sans MS"/>
        <scheme val="none"/>
      </font>
    </dxf>
    <dxf>
      <font>
        <name val="Comic Sans MS"/>
        <scheme val="none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5" tint="0.8"/>
        </patternFill>
      </fill>
    </dxf>
    <dxf>
      <font>
        <color rgb="FF016A7D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m/d/yyyy;@"/>
    </dxf>
    <dxf>
      <numFmt numFmtId="183" formatCode="m/d/yyyy;@"/>
    </dxf>
    <dxf>
      <numFmt numFmtId="184" formatCode="m/d/yyyy;@"/>
    </dxf>
    <dxf>
      <numFmt numFmtId="185" formatCode="m/d/yyyy;@"/>
    </dxf>
    <dxf>
      <numFmt numFmtId="186" formatCode="m/d/yyyy;@"/>
    </dxf>
    <dxf>
      <numFmt numFmtId="187" formatCode="m/d/yyyy;@"/>
    </dxf>
    <dxf>
      <numFmt numFmtId="188" formatCode="m/d/yyyy;@"/>
    </dxf>
    <dxf>
      <numFmt numFmtId="189" formatCode="m/d/yyyy;@"/>
    </dxf>
    <dxf>
      <numFmt numFmtId="190" formatCode="m/d/yyyy;@"/>
    </dxf>
    <dxf>
      <numFmt numFmtId="191" formatCode="m/d/yyyy;@"/>
    </dxf>
    <dxf>
      <numFmt numFmtId="192" formatCode="m/d/yyyy;@"/>
    </dxf>
    <dxf>
      <numFmt numFmtId="193" formatCode="m/d/yyyy;@"/>
    </dxf>
    <dxf>
      <numFmt numFmtId="194" formatCode="m/d/yyyy;@"/>
    </dxf>
    <dxf>
      <numFmt numFmtId="195" formatCode="m/d/yyyy;@"/>
    </dxf>
    <dxf>
      <numFmt numFmtId="196" formatCode="m/d/yyyy;@"/>
    </dxf>
    <dxf>
      <numFmt numFmtId="197" formatCode="m/d/yyyy;@"/>
    </dxf>
    <dxf>
      <numFmt numFmtId="198" formatCode="m/d/yyyy;@"/>
    </dxf>
    <dxf>
      <numFmt numFmtId="199" formatCode="m/d/yyyy;@"/>
    </dxf>
    <dxf>
      <numFmt numFmtId="200" formatCode="m/d/yyyy;@"/>
    </dxf>
    <dxf>
      <numFmt numFmtId="201" formatCode="m/d/yyyy;@"/>
    </dxf>
    <dxf>
      <numFmt numFmtId="202" formatCode="m/d/yyyy;@"/>
    </dxf>
    <dxf>
      <numFmt numFmtId="203" formatCode="m/d/yyyy;@"/>
    </dxf>
    <dxf>
      <numFmt numFmtId="204" formatCode="m/d/yyyy;@"/>
    </dxf>
    <dxf>
      <numFmt numFmtId="205" formatCode="m/d/yyyy;@"/>
    </dxf>
    <dxf>
      <numFmt numFmtId="206" formatCode="m/d/yyyy;@"/>
    </dxf>
    <dxf>
      <numFmt numFmtId="207" formatCode="m/d/yyyy;@"/>
    </dxf>
    <dxf>
      <numFmt numFmtId="208" formatCode="m/d/yyyy;@"/>
    </dxf>
    <dxf>
      <numFmt numFmtId="209" formatCode="[$-409]dddd\,\ mmmm\ d\,\ yyyy;@"/>
    </dxf>
    <dxf>
      <numFmt numFmtId="210" formatCode="[$-409]dddd\,\ mmmm\ d\,\ yyyy;@"/>
    </dxf>
    <dxf>
      <numFmt numFmtId="211" formatCode="[$-409]dddd\,\ mmmm\ d\,\ yyyy;@"/>
    </dxf>
    <dxf>
      <numFmt numFmtId="212" formatCode="[$-409]dddd\,\ mmmm\ d\,\ yyyy;@"/>
    </dxf>
    <dxf>
      <numFmt numFmtId="213" formatCode="[$-409]dddd\,\ mmmm\ d\,\ yyyy;@"/>
    </dxf>
    <dxf>
      <numFmt numFmtId="214" formatCode="[$-409]dddd\,\ mmmm\ d\,\ yyyy;@"/>
    </dxf>
    <dxf>
      <numFmt numFmtId="215" formatCode="[$-409]dddd\,\ mmmm\ d\,\ yyyy;@"/>
    </dxf>
    <dxf>
      <numFmt numFmtId="216" formatCode="[$-409]dddd\,\ mmmm\ d\,\ yyyy;@"/>
    </dxf>
    <dxf>
      <numFmt numFmtId="217" formatCode="[$-409]dddd\,\ mmmm\ d\,\ yyyy;@"/>
    </dxf>
    <dxf>
      <numFmt numFmtId="218" formatCode="[$-409]dddd\,\ mmmm\ d\,\ yyyy;@"/>
    </dxf>
    <dxf>
      <numFmt numFmtId="219" formatCode="[$-409]dddd\,\ mmmm\ d\,\ yyyy;@"/>
    </dxf>
    <dxf>
      <numFmt numFmtId="220" formatCode="[$-409]dddd\,\ mmmm\ d\,\ yyyy;@"/>
    </dxf>
    <dxf>
      <numFmt numFmtId="221" formatCode="[$-409]dddd\,\ mmmm\ d\,\ yyyy;@"/>
    </dxf>
    <dxf>
      <numFmt numFmtId="222" formatCode="[$-409]dddd\,\ mmmm\ d\,\ yyyy;@"/>
    </dxf>
    <dxf>
      <numFmt numFmtId="223" formatCode="[$-409]dddd\,\ mmmm\ d\,\ yyyy;@"/>
    </dxf>
    <dxf>
      <numFmt numFmtId="224" formatCode="[$-409]dddd\,\ mmmm\ d\,\ yyyy;@"/>
    </dxf>
    <dxf>
      <numFmt numFmtId="225" formatCode="[$-409]dddd\,\ mmmm\ d\,\ yyyy;@"/>
    </dxf>
    <dxf>
      <numFmt numFmtId="226" formatCode="[$-409]dddd\,\ mmmm\ d\,\ yyyy;@"/>
    </dxf>
    <dxf>
      <numFmt numFmtId="227" formatCode="[$-409]dddd\,\ mmmm\ d\,\ yyyy;@"/>
    </dxf>
    <dxf>
      <numFmt numFmtId="228" formatCode="[$-409]dddd\,\ mmmm\ d\,\ yyyy;@"/>
    </dxf>
    <dxf>
      <numFmt numFmtId="229" formatCode="[$-409]dddd\,\ mmmm\ d\,\ yyyy;@"/>
    </dxf>
    <dxf>
      <numFmt numFmtId="230" formatCode="[$-409]dddd\,\ mmmm\ d\,\ yyyy;@"/>
    </dxf>
    <dxf>
      <numFmt numFmtId="231" formatCode="[$-409]dddd\,\ mmmm\ d\,\ yyyy;@"/>
    </dxf>
    <dxf>
      <numFmt numFmtId="232" formatCode="[$-409]dddd\,\ mmmm\ d\,\ yyyy;@"/>
    </dxf>
    <dxf>
      <numFmt numFmtId="233" formatCode="[$-409]dddd\,\ mmmm\ d\,\ yyyy;@"/>
    </dxf>
    <dxf>
      <numFmt numFmtId="234" formatCode="[$-409]dddd\,\ mmmm\ d\,\ yyyy;@"/>
    </dxf>
    <dxf>
      <numFmt numFmtId="235" formatCode="[$-409]dddd\,\ mmmm\ d\,\ yyyy;@"/>
    </dxf>
    <dxf>
      <numFmt numFmtId="236" formatCode="m/d/yyyy;@"/>
    </dxf>
    <dxf>
      <numFmt numFmtId="237" formatCode="m/d/yyyy;@"/>
    </dxf>
    <dxf>
      <numFmt numFmtId="238" formatCode="m/d/yyyy;@"/>
    </dxf>
    <dxf>
      <numFmt numFmtId="239" formatCode="m/d/yyyy;@"/>
    </dxf>
    <dxf>
      <numFmt numFmtId="240" formatCode="m/d/yyyy;@"/>
    </dxf>
    <dxf>
      <numFmt numFmtId="241" formatCode="m/d/yyyy;@"/>
    </dxf>
    <dxf>
      <numFmt numFmtId="242" formatCode="m/d/yyyy;@"/>
    </dxf>
    <dxf>
      <numFmt numFmtId="243" formatCode="m/d/yyyy;@"/>
    </dxf>
    <dxf>
      <numFmt numFmtId="244" formatCode="m/d/yyyy;@"/>
    </dxf>
    <dxf>
      <numFmt numFmtId="245" formatCode="m/d/yyyy;@"/>
    </dxf>
    <dxf>
      <numFmt numFmtId="246" formatCode="m/d/yyyy;@"/>
    </dxf>
    <dxf>
      <numFmt numFmtId="247" formatCode="m/d/yyyy;@"/>
    </dxf>
    <dxf>
      <numFmt numFmtId="248" formatCode="m/d/yyyy;@"/>
    </dxf>
    <dxf>
      <numFmt numFmtId="249" formatCode="m/d/yyyy;@"/>
    </dxf>
    <dxf>
      <numFmt numFmtId="250" formatCode="m/d/yyyy;@"/>
    </dxf>
    <dxf>
      <numFmt numFmtId="251" formatCode="m/d/yyyy;@"/>
    </dxf>
    <dxf>
      <numFmt numFmtId="252" formatCode="m/d/yyyy;@"/>
    </dxf>
    <dxf>
      <numFmt numFmtId="253" formatCode="m/d/yyyy;@"/>
    </dxf>
    <dxf>
      <numFmt numFmtId="254" formatCode="m/d/yyyy;@"/>
    </dxf>
    <dxf>
      <numFmt numFmtId="255" formatCode="m/d/yyyy;@"/>
    </dxf>
    <dxf>
      <numFmt numFmtId="256" formatCode="m/d/yyyy;@"/>
    </dxf>
    <dxf>
      <numFmt numFmtId="257" formatCode="m/d/yyyy;@"/>
    </dxf>
    <dxf>
      <numFmt numFmtId="258" formatCode="m/d/yyyy;@"/>
    </dxf>
    <dxf>
      <numFmt numFmtId="259" formatCode="m/d/yyyy;@"/>
    </dxf>
    <dxf>
      <numFmt numFmtId="260" formatCode="m/d/yyyy;@"/>
    </dxf>
    <dxf>
      <numFmt numFmtId="261" formatCode="m/d/yyyy;@"/>
    </dxf>
    <dxf>
      <numFmt numFmtId="262" formatCode="m/d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font>
        <name val="Comic Sans MS"/>
        <scheme val="none"/>
        <b val="1"/>
        <color theme="4"/>
      </font>
      <fill>
        <patternFill patternType="solid">
          <bgColor theme="2" tint="-0.1"/>
        </patternFill>
      </fill>
      <alignment horizontal="center" wrapText="1"/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border>
        <top/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016A7D"/>
      </font>
      <numFmt numFmtId="180" formatCode="dd/mm/yyyy;@"/>
      <fill>
        <patternFill patternType="solid">
          <bgColor theme="5" tint="0.8"/>
        </patternFill>
      </fill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numFmt numFmtId="180" formatCode="dd/mm/yyyy;@"/>
      <alignment horizontal="center" vertical="center" wrapText="1"/>
    </dxf>
    <dxf>
      <font>
        <name val="Microsoft YaHei"/>
        <scheme val="none"/>
        <sz val="10"/>
      </font>
      <numFmt numFmtId="181" formatCode="dd/mm/yyyy"/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name val="Calibri"/>
        <scheme val="none"/>
        <b val="0"/>
        <i val="0"/>
        <u val="none"/>
        <sz val="11"/>
        <color auto="1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290"/>
      <tableStyleElement type="headerRow" dxfId="289"/>
      <tableStyleElement type="totalRow" dxfId="288"/>
      <tableStyleElement type="firstColumn" dxfId="287"/>
      <tableStyleElement type="lastColumn" dxfId="286"/>
      <tableStyleElement type="firstRowStripe" dxfId="285"/>
      <tableStyleElement type="firstColumnStripe" dxfId="284"/>
    </tableStyle>
    <tableStyle name="TableStylePreset4_Accent1" pivot="0" count="7" xr9:uid="{E80031A0-62FC-435E-9621-CFD856E535BA}">
      <tableStyleElement type="wholeTable" dxfId="297"/>
      <tableStyleElement type="headerRow" dxfId="296"/>
      <tableStyleElement type="totalRow" dxfId="295"/>
      <tableStyleElement type="firstColumn" dxfId="294"/>
      <tableStyleElement type="lastColumn" dxfId="293"/>
      <tableStyleElement type="firstRowStripe" dxfId="292"/>
      <tableStyleElement type="firstColumnStripe" dxfId="291"/>
    </tableStyle>
    <tableStyle name="Table Style 1" pivot="0" count="1" xr9:uid="{65942003-7DDC-4C1C-BE7A-E863A8F7986B}">
      <tableStyleElement type="wholeTable" dxfId="298"/>
    </tableStyle>
    <tableStyle name="PivotStylePreset2_Accent1" table="0" count="10" xr9:uid="{267968C8-6FFD-4C36-ACC1-9EA1FD1885CA}">
      <tableStyleElement type="headerRow" dxfId="308"/>
      <tableStyleElement type="totalRow" dxfId="307"/>
      <tableStyleElement type="firstRowStripe" dxfId="306"/>
      <tableStyleElement type="firstColumnStripe" dxfId="305"/>
      <tableStyleElement type="firstSubtotalRow" dxfId="304"/>
      <tableStyleElement type="secondSubtotalRow" dxfId="303"/>
      <tableStyleElement type="firstRowSubheading" dxfId="302"/>
      <tableStyleElement type="secondRowSubheading" dxfId="301"/>
      <tableStyleElement type="pageFieldLabels" dxfId="300"/>
      <tableStyleElement type="pageFieldValues" dxfId="299"/>
    </tableStyle>
  </tableStyles>
  <colors>
    <mruColors>
      <color rgb="00016A7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[DOCKERS.xlsx]DOCKERS_TABLE!PivotTable1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814657349778566"/>
          <c:y val="0.123238348780476"/>
          <c:w val="0.855308775731311"/>
          <c:h val="0.440034364261168"/>
        </c:manualLayout>
      </c:layout>
      <c:lineChart>
        <c:grouping val="standard"/>
        <c:varyColors val="0"/>
        <c:ser>
          <c:idx val="0"/>
          <c:order val="0"/>
          <c:tx>
            <c:strRef>
              <c:f>DOCKERS_TABLE!$O$1:$O$2</c:f>
              <c:strCache>
                <c:ptCount val="1"/>
                <c:pt idx="0">
                  <c:v>llmforge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DOCKERS_TABLE!$M$3:$N$48</c:f>
              <c:multiLvlStrCache>
                <c:ptCount val="43"/>
                <c:lvl>
                  <c:pt idx="0">
                    <c:v>28-02-2026</c:v>
                  </c:pt>
                  <c:pt idx="1">
                    <c:v>01-03-2026</c:v>
                  </c:pt>
                  <c:pt idx="2">
                    <c:v>02-03-2026</c:v>
                  </c:pt>
                  <c:pt idx="3">
                    <c:v>03-03-2026</c:v>
                  </c:pt>
                  <c:pt idx="4">
                    <c:v>04-03-2026</c:v>
                  </c:pt>
                  <c:pt idx="5">
                    <c:v>05-03-2026</c:v>
                  </c:pt>
                  <c:pt idx="6">
                    <c:v>06-03-2026</c:v>
                  </c:pt>
                  <c:pt idx="7">
                    <c:v>07-03-2026</c:v>
                  </c:pt>
                  <c:pt idx="8">
                    <c:v>08-03-2026</c:v>
                  </c:pt>
                  <c:pt idx="9">
                    <c:v>09-03-2026</c:v>
                  </c:pt>
                  <c:pt idx="10">
                    <c:v>10-03-2026</c:v>
                  </c:pt>
                  <c:pt idx="11">
                    <c:v>11-03-2026</c:v>
                  </c:pt>
                  <c:pt idx="12">
                    <c:v>12-03-2026</c:v>
                  </c:pt>
                  <c:pt idx="13">
                    <c:v>13-03-2026</c:v>
                  </c:pt>
                  <c:pt idx="14">
                    <c:v>14-03-2026</c:v>
                  </c:pt>
                  <c:pt idx="15">
                    <c:v>15-03-2026</c:v>
                  </c:pt>
                  <c:pt idx="16">
                    <c:v>16-03-2026</c:v>
                  </c:pt>
                  <c:pt idx="17">
                    <c:v>17-03-2026</c:v>
                  </c:pt>
                  <c:pt idx="18">
                    <c:v>18-03-2026</c:v>
                  </c:pt>
                  <c:pt idx="19">
                    <c:v>19-03-2026</c:v>
                  </c:pt>
                  <c:pt idx="20">
                    <c:v>20-03-2026</c:v>
                  </c:pt>
                  <c:pt idx="21">
                    <c:v>21-03-2026</c:v>
                  </c:pt>
                  <c:pt idx="22">
                    <c:v>22-03-2026</c:v>
                  </c:pt>
                  <c:pt idx="23">
                    <c:v>23-03-2026</c:v>
                  </c:pt>
                  <c:pt idx="24">
                    <c:v>24-03-2026</c:v>
                  </c:pt>
                  <c:pt idx="25">
                    <c:v>25-03-2026</c:v>
                  </c:pt>
                  <c:pt idx="26">
                    <c:v>26-03-2026</c:v>
                  </c:pt>
                  <c:pt idx="27">
                    <c:v>27-03-2026</c:v>
                  </c:pt>
                  <c:pt idx="28">
                    <c:v>28-03-2026</c:v>
                  </c:pt>
                  <c:pt idx="29">
                    <c:v>29-03-2026</c:v>
                  </c:pt>
                  <c:pt idx="30">
                    <c:v>30-03-2026</c:v>
                  </c:pt>
                  <c:pt idx="31">
                    <c:v>31-03-2026</c:v>
                  </c:pt>
                  <c:pt idx="32">
                    <c:v>01-04-2026</c:v>
                  </c:pt>
                  <c:pt idx="33">
                    <c:v>02-04-2026</c:v>
                  </c:pt>
                  <c:pt idx="34">
                    <c:v>03-04-2026</c:v>
                  </c:pt>
                  <c:pt idx="35">
                    <c:v>04-04-2026</c:v>
                  </c:pt>
                  <c:pt idx="36">
                    <c:v>05-04-2026</c:v>
                  </c:pt>
                  <c:pt idx="37">
                    <c:v>06-04-2026</c:v>
                  </c:pt>
                  <c:pt idx="38">
                    <c:v>07-04-2026</c:v>
                  </c:pt>
                  <c:pt idx="39">
                    <c:v>08-04-2026</c:v>
                  </c:pt>
                  <c:pt idx="40">
                    <c:v>09-04-2026</c:v>
                  </c:pt>
                  <c:pt idx="41">
                    <c:v>10-04-2026</c:v>
                  </c:pt>
                  <c:pt idx="42">
                    <c:v>11-04-2026</c:v>
                  </c:pt>
                </c:lvl>
                <c:lvl>
                  <c:pt idx="0">
                    <c:v>Feb-2026</c:v>
                  </c:pt>
                  <c:pt idx="1">
                    <c:v>Mar-2026</c:v>
                  </c:pt>
                  <c:pt idx="32">
                    <c:v>Apr-2026</c:v>
                  </c:pt>
                </c:lvl>
              </c:multiLvlStrCache>
            </c:multiLvlStrRef>
          </c:cat>
          <c:val>
            <c:numRef>
              <c:f>DOCKERS_TABLE!$O$3:$O$48</c:f>
              <c:numCache>
                <c:formatCode>General</c:formatCode>
                <c:ptCount val="43"/>
                <c:pt idx="16">
                  <c:v>221</c:v>
                </c:pt>
                <c:pt idx="17">
                  <c:v>223</c:v>
                </c:pt>
                <c:pt idx="18">
                  <c:v>260</c:v>
                </c:pt>
                <c:pt idx="19">
                  <c:v>267</c:v>
                </c:pt>
                <c:pt idx="20">
                  <c:v>269</c:v>
                </c:pt>
                <c:pt idx="21">
                  <c:v>279</c:v>
                </c:pt>
                <c:pt idx="22">
                  <c:v>331</c:v>
                </c:pt>
                <c:pt idx="23">
                  <c:v>336</c:v>
                </c:pt>
                <c:pt idx="24">
                  <c:v>383</c:v>
                </c:pt>
                <c:pt idx="25">
                  <c:v>400</c:v>
                </c:pt>
                <c:pt idx="26">
                  <c:v>403</c:v>
                </c:pt>
                <c:pt idx="27">
                  <c:v>409</c:v>
                </c:pt>
                <c:pt idx="28">
                  <c:v>410</c:v>
                </c:pt>
                <c:pt idx="29">
                  <c:v>411</c:v>
                </c:pt>
                <c:pt idx="30">
                  <c:v>427</c:v>
                </c:pt>
                <c:pt idx="31">
                  <c:v>441</c:v>
                </c:pt>
                <c:pt idx="32">
                  <c:v>449</c:v>
                </c:pt>
                <c:pt idx="33">
                  <c:v>451</c:v>
                </c:pt>
                <c:pt idx="34">
                  <c:v>454</c:v>
                </c:pt>
                <c:pt idx="35">
                  <c:v>454</c:v>
                </c:pt>
                <c:pt idx="36">
                  <c:v>455</c:v>
                </c:pt>
                <c:pt idx="37">
                  <c:v>460</c:v>
                </c:pt>
                <c:pt idx="38">
                  <c:v>493</c:v>
                </c:pt>
                <c:pt idx="39">
                  <c:v>502</c:v>
                </c:pt>
                <c:pt idx="40">
                  <c:v>509</c:v>
                </c:pt>
                <c:pt idx="41">
                  <c:v>540</c:v>
                </c:pt>
                <c:pt idx="42">
                  <c:v>549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DOCKERS_TABLE!$P$1:$P$2</c:f>
              <c:strCache>
                <c:ptCount val="1"/>
                <c:pt idx="0">
                  <c:v>owasp-vulnerableapp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DOCKERS_TABLE!$M$3:$N$48</c:f>
              <c:multiLvlStrCache>
                <c:ptCount val="43"/>
                <c:lvl>
                  <c:pt idx="0">
                    <c:v>28-02-2026</c:v>
                  </c:pt>
                  <c:pt idx="1">
                    <c:v>01-03-2026</c:v>
                  </c:pt>
                  <c:pt idx="2">
                    <c:v>02-03-2026</c:v>
                  </c:pt>
                  <c:pt idx="3">
                    <c:v>03-03-2026</c:v>
                  </c:pt>
                  <c:pt idx="4">
                    <c:v>04-03-2026</c:v>
                  </c:pt>
                  <c:pt idx="5">
                    <c:v>05-03-2026</c:v>
                  </c:pt>
                  <c:pt idx="6">
                    <c:v>06-03-2026</c:v>
                  </c:pt>
                  <c:pt idx="7">
                    <c:v>07-03-2026</c:v>
                  </c:pt>
                  <c:pt idx="8">
                    <c:v>08-03-2026</c:v>
                  </c:pt>
                  <c:pt idx="9">
                    <c:v>09-03-2026</c:v>
                  </c:pt>
                  <c:pt idx="10">
                    <c:v>10-03-2026</c:v>
                  </c:pt>
                  <c:pt idx="11">
                    <c:v>11-03-2026</c:v>
                  </c:pt>
                  <c:pt idx="12">
                    <c:v>12-03-2026</c:v>
                  </c:pt>
                  <c:pt idx="13">
                    <c:v>13-03-2026</c:v>
                  </c:pt>
                  <c:pt idx="14">
                    <c:v>14-03-2026</c:v>
                  </c:pt>
                  <c:pt idx="15">
                    <c:v>15-03-2026</c:v>
                  </c:pt>
                  <c:pt idx="16">
                    <c:v>16-03-2026</c:v>
                  </c:pt>
                  <c:pt idx="17">
                    <c:v>17-03-2026</c:v>
                  </c:pt>
                  <c:pt idx="18">
                    <c:v>18-03-2026</c:v>
                  </c:pt>
                  <c:pt idx="19">
                    <c:v>19-03-2026</c:v>
                  </c:pt>
                  <c:pt idx="20">
                    <c:v>20-03-2026</c:v>
                  </c:pt>
                  <c:pt idx="21">
                    <c:v>21-03-2026</c:v>
                  </c:pt>
                  <c:pt idx="22">
                    <c:v>22-03-2026</c:v>
                  </c:pt>
                  <c:pt idx="23">
                    <c:v>23-03-2026</c:v>
                  </c:pt>
                  <c:pt idx="24">
                    <c:v>24-03-2026</c:v>
                  </c:pt>
                  <c:pt idx="25">
                    <c:v>25-03-2026</c:v>
                  </c:pt>
                  <c:pt idx="26">
                    <c:v>26-03-2026</c:v>
                  </c:pt>
                  <c:pt idx="27">
                    <c:v>27-03-2026</c:v>
                  </c:pt>
                  <c:pt idx="28">
                    <c:v>28-03-2026</c:v>
                  </c:pt>
                  <c:pt idx="29">
                    <c:v>29-03-2026</c:v>
                  </c:pt>
                  <c:pt idx="30">
                    <c:v>30-03-2026</c:v>
                  </c:pt>
                  <c:pt idx="31">
                    <c:v>31-03-2026</c:v>
                  </c:pt>
                  <c:pt idx="32">
                    <c:v>01-04-2026</c:v>
                  </c:pt>
                  <c:pt idx="33">
                    <c:v>02-04-2026</c:v>
                  </c:pt>
                  <c:pt idx="34">
                    <c:v>03-04-2026</c:v>
                  </c:pt>
                  <c:pt idx="35">
                    <c:v>04-04-2026</c:v>
                  </c:pt>
                  <c:pt idx="36">
                    <c:v>05-04-2026</c:v>
                  </c:pt>
                  <c:pt idx="37">
                    <c:v>06-04-2026</c:v>
                  </c:pt>
                  <c:pt idx="38">
                    <c:v>07-04-2026</c:v>
                  </c:pt>
                  <c:pt idx="39">
                    <c:v>08-04-2026</c:v>
                  </c:pt>
                  <c:pt idx="40">
                    <c:v>09-04-2026</c:v>
                  </c:pt>
                  <c:pt idx="41">
                    <c:v>10-04-2026</c:v>
                  </c:pt>
                  <c:pt idx="42">
                    <c:v>11-04-2026</c:v>
                  </c:pt>
                </c:lvl>
                <c:lvl>
                  <c:pt idx="0">
                    <c:v>Feb-2026</c:v>
                  </c:pt>
                  <c:pt idx="1">
                    <c:v>Mar-2026</c:v>
                  </c:pt>
                  <c:pt idx="32">
                    <c:v>Apr-2026</c:v>
                  </c:pt>
                </c:lvl>
              </c:multiLvlStrCache>
            </c:multiLvlStrRef>
          </c:cat>
          <c:val>
            <c:numRef>
              <c:f>DOCKERS_TABLE!$P$3:$P$48</c:f>
              <c:numCache>
                <c:formatCode>General</c:formatCode>
                <c:ptCount val="43"/>
                <c:pt idx="0">
                  <c:v>53469</c:v>
                </c:pt>
                <c:pt idx="1">
                  <c:v>53735</c:v>
                </c:pt>
                <c:pt idx="2">
                  <c:v>53836</c:v>
                </c:pt>
                <c:pt idx="3">
                  <c:v>53960</c:v>
                </c:pt>
                <c:pt idx="4">
                  <c:v>54056</c:v>
                </c:pt>
                <c:pt idx="5">
                  <c:v>54180</c:v>
                </c:pt>
                <c:pt idx="6">
                  <c:v>54306</c:v>
                </c:pt>
                <c:pt idx="7">
                  <c:v>54450</c:v>
                </c:pt>
                <c:pt idx="8">
                  <c:v>54776</c:v>
                </c:pt>
                <c:pt idx="9">
                  <c:v>54878</c:v>
                </c:pt>
                <c:pt idx="10">
                  <c:v>54976</c:v>
                </c:pt>
                <c:pt idx="11">
                  <c:v>55133</c:v>
                </c:pt>
                <c:pt idx="12">
                  <c:v>55238</c:v>
                </c:pt>
                <c:pt idx="13">
                  <c:v>55320</c:v>
                </c:pt>
                <c:pt idx="14">
                  <c:v>55400</c:v>
                </c:pt>
                <c:pt idx="15">
                  <c:v>55979</c:v>
                </c:pt>
                <c:pt idx="16">
                  <c:v>56566</c:v>
                </c:pt>
                <c:pt idx="17">
                  <c:v>56663</c:v>
                </c:pt>
                <c:pt idx="18">
                  <c:v>56877</c:v>
                </c:pt>
                <c:pt idx="19">
                  <c:v>57023</c:v>
                </c:pt>
                <c:pt idx="20">
                  <c:v>57049</c:v>
                </c:pt>
                <c:pt idx="21">
                  <c:v>57144</c:v>
                </c:pt>
                <c:pt idx="22">
                  <c:v>57257</c:v>
                </c:pt>
                <c:pt idx="23">
                  <c:v>57440</c:v>
                </c:pt>
                <c:pt idx="24">
                  <c:v>57604</c:v>
                </c:pt>
                <c:pt idx="25">
                  <c:v>57711</c:v>
                </c:pt>
                <c:pt idx="26">
                  <c:v>57891</c:v>
                </c:pt>
                <c:pt idx="27">
                  <c:v>57982</c:v>
                </c:pt>
                <c:pt idx="28">
                  <c:v>58095</c:v>
                </c:pt>
                <c:pt idx="29">
                  <c:v>58348</c:v>
                </c:pt>
                <c:pt idx="30">
                  <c:v>58567</c:v>
                </c:pt>
                <c:pt idx="31">
                  <c:v>58730</c:v>
                </c:pt>
                <c:pt idx="32">
                  <c:v>58847</c:v>
                </c:pt>
                <c:pt idx="33">
                  <c:v>59075</c:v>
                </c:pt>
                <c:pt idx="34">
                  <c:v>59193</c:v>
                </c:pt>
                <c:pt idx="35">
                  <c:v>59290</c:v>
                </c:pt>
                <c:pt idx="36">
                  <c:v>59385</c:v>
                </c:pt>
                <c:pt idx="37">
                  <c:v>59470</c:v>
                </c:pt>
                <c:pt idx="38">
                  <c:v>59713</c:v>
                </c:pt>
                <c:pt idx="39">
                  <c:v>60091</c:v>
                </c:pt>
                <c:pt idx="40">
                  <c:v>60146</c:v>
                </c:pt>
                <c:pt idx="41">
                  <c:v>60278</c:v>
                </c:pt>
                <c:pt idx="42">
                  <c:v>60444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DOCKERS_TABLE!$Q$1:$Q$2</c:f>
              <c:strCache>
                <c:ptCount val="1"/>
                <c:pt idx="0">
                  <c:v>owasp-vulnerableapp-facade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DOCKERS_TABLE!$M$3:$N$48</c:f>
              <c:multiLvlStrCache>
                <c:ptCount val="43"/>
                <c:lvl>
                  <c:pt idx="0">
                    <c:v>28-02-2026</c:v>
                  </c:pt>
                  <c:pt idx="1">
                    <c:v>01-03-2026</c:v>
                  </c:pt>
                  <c:pt idx="2">
                    <c:v>02-03-2026</c:v>
                  </c:pt>
                  <c:pt idx="3">
                    <c:v>03-03-2026</c:v>
                  </c:pt>
                  <c:pt idx="4">
                    <c:v>04-03-2026</c:v>
                  </c:pt>
                  <c:pt idx="5">
                    <c:v>05-03-2026</c:v>
                  </c:pt>
                  <c:pt idx="6">
                    <c:v>06-03-2026</c:v>
                  </c:pt>
                  <c:pt idx="7">
                    <c:v>07-03-2026</c:v>
                  </c:pt>
                  <c:pt idx="8">
                    <c:v>08-03-2026</c:v>
                  </c:pt>
                  <c:pt idx="9">
                    <c:v>09-03-2026</c:v>
                  </c:pt>
                  <c:pt idx="10">
                    <c:v>10-03-2026</c:v>
                  </c:pt>
                  <c:pt idx="11">
                    <c:v>11-03-2026</c:v>
                  </c:pt>
                  <c:pt idx="12">
                    <c:v>12-03-2026</c:v>
                  </c:pt>
                  <c:pt idx="13">
                    <c:v>13-03-2026</c:v>
                  </c:pt>
                  <c:pt idx="14">
                    <c:v>14-03-2026</c:v>
                  </c:pt>
                  <c:pt idx="15">
                    <c:v>15-03-2026</c:v>
                  </c:pt>
                  <c:pt idx="16">
                    <c:v>16-03-2026</c:v>
                  </c:pt>
                  <c:pt idx="17">
                    <c:v>17-03-2026</c:v>
                  </c:pt>
                  <c:pt idx="18">
                    <c:v>18-03-2026</c:v>
                  </c:pt>
                  <c:pt idx="19">
                    <c:v>19-03-2026</c:v>
                  </c:pt>
                  <c:pt idx="20">
                    <c:v>20-03-2026</c:v>
                  </c:pt>
                  <c:pt idx="21">
                    <c:v>21-03-2026</c:v>
                  </c:pt>
                  <c:pt idx="22">
                    <c:v>22-03-2026</c:v>
                  </c:pt>
                  <c:pt idx="23">
                    <c:v>23-03-2026</c:v>
                  </c:pt>
                  <c:pt idx="24">
                    <c:v>24-03-2026</c:v>
                  </c:pt>
                  <c:pt idx="25">
                    <c:v>25-03-2026</c:v>
                  </c:pt>
                  <c:pt idx="26">
                    <c:v>26-03-2026</c:v>
                  </c:pt>
                  <c:pt idx="27">
                    <c:v>27-03-2026</c:v>
                  </c:pt>
                  <c:pt idx="28">
                    <c:v>28-03-2026</c:v>
                  </c:pt>
                  <c:pt idx="29">
                    <c:v>29-03-2026</c:v>
                  </c:pt>
                  <c:pt idx="30">
                    <c:v>30-03-2026</c:v>
                  </c:pt>
                  <c:pt idx="31">
                    <c:v>31-03-2026</c:v>
                  </c:pt>
                  <c:pt idx="32">
                    <c:v>01-04-2026</c:v>
                  </c:pt>
                  <c:pt idx="33">
                    <c:v>02-04-2026</c:v>
                  </c:pt>
                  <c:pt idx="34">
                    <c:v>03-04-2026</c:v>
                  </c:pt>
                  <c:pt idx="35">
                    <c:v>04-04-2026</c:v>
                  </c:pt>
                  <c:pt idx="36">
                    <c:v>05-04-2026</c:v>
                  </c:pt>
                  <c:pt idx="37">
                    <c:v>06-04-2026</c:v>
                  </c:pt>
                  <c:pt idx="38">
                    <c:v>07-04-2026</c:v>
                  </c:pt>
                  <c:pt idx="39">
                    <c:v>08-04-2026</c:v>
                  </c:pt>
                  <c:pt idx="40">
                    <c:v>09-04-2026</c:v>
                  </c:pt>
                  <c:pt idx="41">
                    <c:v>10-04-2026</c:v>
                  </c:pt>
                  <c:pt idx="42">
                    <c:v>11-04-2026</c:v>
                  </c:pt>
                </c:lvl>
                <c:lvl>
                  <c:pt idx="0">
                    <c:v>Feb-2026</c:v>
                  </c:pt>
                  <c:pt idx="1">
                    <c:v>Mar-2026</c:v>
                  </c:pt>
                  <c:pt idx="32">
                    <c:v>Apr-2026</c:v>
                  </c:pt>
                </c:lvl>
              </c:multiLvlStrCache>
            </c:multiLvlStrRef>
          </c:cat>
          <c:val>
            <c:numRef>
              <c:f>DOCKERS_TABLE!$Q$3:$Q$48</c:f>
              <c:numCache>
                <c:formatCode>General</c:formatCode>
                <c:ptCount val="43"/>
                <c:pt idx="0">
                  <c:v>28130</c:v>
                </c:pt>
                <c:pt idx="1">
                  <c:v>28132</c:v>
                </c:pt>
                <c:pt idx="2">
                  <c:v>28154</c:v>
                </c:pt>
                <c:pt idx="3">
                  <c:v>28179</c:v>
                </c:pt>
                <c:pt idx="4">
                  <c:v>28204</c:v>
                </c:pt>
                <c:pt idx="5">
                  <c:v>28243</c:v>
                </c:pt>
                <c:pt idx="6">
                  <c:v>28278</c:v>
                </c:pt>
                <c:pt idx="7">
                  <c:v>28295</c:v>
                </c:pt>
                <c:pt idx="8">
                  <c:v>28314</c:v>
                </c:pt>
                <c:pt idx="9">
                  <c:v>28330</c:v>
                </c:pt>
                <c:pt idx="10">
                  <c:v>28377</c:v>
                </c:pt>
                <c:pt idx="11">
                  <c:v>28411</c:v>
                </c:pt>
                <c:pt idx="12">
                  <c:v>28435</c:v>
                </c:pt>
                <c:pt idx="13">
                  <c:v>28458</c:v>
                </c:pt>
                <c:pt idx="14">
                  <c:v>28474</c:v>
                </c:pt>
                <c:pt idx="15">
                  <c:v>28497</c:v>
                </c:pt>
                <c:pt idx="16">
                  <c:v>28522</c:v>
                </c:pt>
                <c:pt idx="17">
                  <c:v>28714</c:v>
                </c:pt>
                <c:pt idx="18">
                  <c:v>28798</c:v>
                </c:pt>
                <c:pt idx="19">
                  <c:v>28847</c:v>
                </c:pt>
                <c:pt idx="20">
                  <c:v>28856</c:v>
                </c:pt>
                <c:pt idx="21">
                  <c:v>28883</c:v>
                </c:pt>
                <c:pt idx="22">
                  <c:v>28912</c:v>
                </c:pt>
                <c:pt idx="23">
                  <c:v>28940</c:v>
                </c:pt>
                <c:pt idx="24">
                  <c:v>29065</c:v>
                </c:pt>
                <c:pt idx="25">
                  <c:v>29098</c:v>
                </c:pt>
                <c:pt idx="26">
                  <c:v>29112</c:v>
                </c:pt>
                <c:pt idx="27">
                  <c:v>29139</c:v>
                </c:pt>
                <c:pt idx="28">
                  <c:v>29175</c:v>
                </c:pt>
                <c:pt idx="29">
                  <c:v>29186</c:v>
                </c:pt>
                <c:pt idx="30">
                  <c:v>29498</c:v>
                </c:pt>
                <c:pt idx="31">
                  <c:v>29548</c:v>
                </c:pt>
                <c:pt idx="32">
                  <c:v>29582</c:v>
                </c:pt>
                <c:pt idx="33">
                  <c:v>29598</c:v>
                </c:pt>
                <c:pt idx="34">
                  <c:v>29635</c:v>
                </c:pt>
                <c:pt idx="35">
                  <c:v>29654</c:v>
                </c:pt>
                <c:pt idx="36">
                  <c:v>29676</c:v>
                </c:pt>
                <c:pt idx="37">
                  <c:v>29774</c:v>
                </c:pt>
                <c:pt idx="38">
                  <c:v>29892</c:v>
                </c:pt>
                <c:pt idx="39">
                  <c:v>29948</c:v>
                </c:pt>
                <c:pt idx="40">
                  <c:v>30019</c:v>
                </c:pt>
                <c:pt idx="41">
                  <c:v>30058</c:v>
                </c:pt>
                <c:pt idx="42">
                  <c:v>30087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9228106"/>
        <c:axId val="974829900"/>
      </c:lineChart>
      <c:catAx>
        <c:axId val="6892281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ln w="12700" cmpd="sng">
                      <a:solidFill>
                        <a:schemeClr val="accent1">
                          <a:shade val="50000"/>
                          <a:alpha val="72000"/>
                        </a:schemeClr>
                      </a:solidFill>
                      <a:prstDash val="solid"/>
                    </a:ln>
                    <a:solidFill>
                      <a:schemeClr val="accent1"/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  <a:r>
                  <a:rPr lang="en-IN" altLang="zh-CN">
                    <a:ln w="12700" cmpd="sng">
                      <a:solidFill>
                        <a:schemeClr val="accent1">
                          <a:shade val="50000"/>
                          <a:alpha val="72000"/>
                        </a:schemeClr>
                      </a:solidFill>
                      <a:prstDash val="solid"/>
                    </a:ln>
                    <a:solidFill>
                      <a:schemeClr val="accent1"/>
                    </a:solidFill>
                  </a:rPr>
                  <a:t>REPO</a:t>
                </a:r>
                <a:endParaRPr lang="en-IN" altLang="zh-CN">
                  <a:ln w="12700" cmpd="sng">
                    <a:solidFill>
                      <a:schemeClr val="accent1">
                        <a:shade val="50000"/>
                        <a:alpha val="72000"/>
                      </a:schemeClr>
                    </a:solidFill>
                    <a:prstDash val="solid"/>
                  </a:ln>
                  <a:solidFill>
                    <a:schemeClr val="accent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85727820634206"/>
              <c:y val="0.896870449539095"/>
            </c:manualLayout>
          </c:layout>
          <c:overlay val="0"/>
          <c:spPr>
            <a:solidFill>
              <a:srgbClr val="EE822F">
                <a:lumMod val="60000"/>
                <a:lumOff val="40000"/>
              </a:srgbClr>
            </a:solidFill>
            <a:ln w="12700" cmpd="sng">
              <a:solidFill>
                <a:srgbClr val="E54C5E"/>
              </a:solidFill>
              <a:prstDash val="solid"/>
            </a:ln>
            <a:effectLst/>
          </c:spPr>
        </c:title>
        <c:numFmt formatCode="[$-409]ddd;@" sourceLinked="1"/>
        <c:majorTickMark val="none"/>
        <c:minorTickMark val="none"/>
        <c:tickLblPos val="low"/>
        <c:spPr>
          <a:solidFill>
            <a:srgbClr val="E54C5E">
              <a:lumMod val="20000"/>
              <a:lumOff val="80000"/>
            </a:srgbClr>
          </a:solidFill>
          <a:ln w="3175" cap="flat" cmpd="sng" algn="ctr">
            <a:solidFill>
              <a:sysClr val="windowText" lastClr="000000">
                <a:lumMod val="85000"/>
                <a:lumOff val="15000"/>
              </a:sysClr>
            </a:solidFill>
            <a:prstDash val="solid"/>
            <a:miter lim="800000"/>
          </a:ln>
          <a:effectLst>
            <a:glow rad="139700">
              <a:srgbClr val="E7E6E6">
                <a:alpha val="40000"/>
              </a:srgbClr>
            </a:glow>
            <a:outerShdw blurRad="50800" dist="38100" dir="2700000" algn="tl" rotWithShape="0">
              <a:srgbClr val="E7E6E6">
                <a:alpha val="40000"/>
              </a:srgbClr>
            </a:outerShdw>
          </a:effectLst>
          <a:sp3d>
            <a:extrusionClr>
              <a:srgbClr val="FFFFFF"/>
            </a:extrusionClr>
            <a:contourClr>
              <a:srgbClr val="FFFFFF"/>
            </a:contourClr>
          </a:sp3d>
        </c:spPr>
        <c:txPr>
          <a:bodyPr rot="5400000" spcFirstLastPara="0" vertOverflow="ellipsis" vert="horz" wrap="square" anchor="t" anchorCtr="0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charset="-122"/>
              </a:defRPr>
            </a:pPr>
          </a:p>
        </c:txPr>
        <c:crossAx val="974829900"/>
        <c:crosses val="autoZero"/>
        <c:auto val="0"/>
        <c:lblAlgn val="ctr"/>
        <c:lblOffset val="100"/>
        <c:noMultiLvlLbl val="0"/>
      </c:catAx>
      <c:valAx>
        <c:axId val="974829900"/>
        <c:scaling>
          <c:orientation val="minMax"/>
        </c:scaling>
        <c:delete val="0"/>
        <c:axPos val="l"/>
        <c:majorGridlines>
          <c:spPr>
            <a:ln w="0" cap="rnd" cmpd="sng" algn="ctr">
              <a:solidFill>
                <a:srgbClr val="4874CB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accent1">
                        <a:lumMod val="7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  <a:r>
                  <a:rPr lang="en-IN" altLang="zh-CN">
                    <a:ln>
                      <a:solidFill>
                        <a:schemeClr val="accent1"/>
                      </a:solidFill>
                    </a:ln>
                    <a:solidFill>
                      <a:schemeClr val="accent1">
                        <a:lumMod val="75000"/>
                      </a:schemeClr>
                    </a:solidFill>
                  </a:rPr>
                  <a:t>PULL COUNT</a:t>
                </a:r>
                <a:endParaRPr lang="en-IN" altLang="zh-CN">
                  <a:ln>
                    <a:solidFill>
                      <a:schemeClr val="accent1"/>
                    </a:solidFill>
                  </a:ln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00923035877522622"/>
              <c:y val="0.222716294388671"/>
            </c:manualLayout>
          </c:layout>
          <c:overlay val="0"/>
          <c:spPr>
            <a:solidFill>
              <a:srgbClr val="EE822F">
                <a:lumMod val="60000"/>
                <a:lumOff val="40000"/>
              </a:srgbClr>
            </a:solidFill>
            <a:ln w="12700" cmpd="sng">
              <a:solidFill>
                <a:srgbClr val="E54C5E"/>
              </a:solidFill>
              <a:prstDash val="solid"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 w="15875"/>
                <a:gradFill>
                  <a:gsLst>
                    <a:gs pos="50000">
                      <a:schemeClr val="accent1"/>
                    </a:gs>
                    <a:gs pos="0">
                      <a:schemeClr val="accent1">
                        <a:lumMod val="25000"/>
                        <a:lumOff val="75000"/>
                      </a:schemeClr>
                    </a:gs>
                    <a:gs pos="100000">
                      <a:schemeClr val="accent1">
                        <a:lumMod val="85000"/>
                      </a:schemeClr>
                    </a:gs>
                  </a:gsLst>
                  <a:lin ang="5400000" scaled="1"/>
                </a:gradFill>
                <a:effectLst>
                  <a:innerShdw blurRad="63500" dist="50800" dir="8100000">
                    <a:prstClr val="black">
                      <a:alpha val="50000"/>
                    </a:prstClr>
                  </a:innerShdw>
                </a:effectLst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6892281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580126746472"/>
          <c:y val="0.804583860381609"/>
          <c:w val="0.594948660450844"/>
          <c:h val="0.0613111146046219"/>
        </c:manualLayout>
      </c:layout>
      <c:overlay val="0"/>
      <c:spPr>
        <a:noFill/>
        <a:ln w="12700" cmpd="sng">
          <a:solidFill>
            <a:srgbClr val="7030A0"/>
          </a:solidFill>
          <a:prstDash val="solid"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 w="12700" cmpd="sng">
                <a:solidFill>
                  <a:schemeClr val="accent5">
                    <a:lumMod val="75000"/>
                  </a:schemeClr>
                </a:solidFill>
                <a:prstDash val="solid"/>
                <a:bevel/>
              </a:ln>
              <a:solidFill>
                <a:schemeClr val="accent5">
                  <a:lumMod val="75000"/>
                </a:schemeClr>
              </a:solidFill>
              <a:effectLst/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13ee81-3e4f-4ffa-b0fe-ad6b7d2abd0d}"/>
      </c:ext>
    </c:extLst>
  </c:chart>
  <c:spPr>
    <a:solidFill>
      <a:srgbClr val="E7E6E6"/>
    </a:solidFill>
    <a:ln w="2857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48895</xdr:colOff>
      <xdr:row>7</xdr:row>
      <xdr:rowOff>57150</xdr:rowOff>
    </xdr:from>
    <xdr:to>
      <xdr:col>19</xdr:col>
      <xdr:colOff>269875</xdr:colOff>
      <xdr:row>25</xdr:row>
      <xdr:rowOff>171450</xdr:rowOff>
    </xdr:to>
    <xdr:graphicFrame>
      <xdr:nvGraphicFramePr>
        <xdr:cNvPr id="2" name="Chart 1" descr="7b0a202020202263686172745265734964223a20223230343731343133220a7d0a"/>
        <xdr:cNvGraphicFramePr/>
      </xdr:nvGraphicFramePr>
      <xdr:xfrm>
        <a:off x="2484120" y="1419225"/>
        <a:ext cx="12508230" cy="3543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12</xdr:row>
      <xdr:rowOff>171450</xdr:rowOff>
    </xdr:from>
    <xdr:to>
      <xdr:col>3</xdr:col>
      <xdr:colOff>1905</xdr:colOff>
      <xdr:row>23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PO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2486025"/>
              <a:ext cx="2436495" cy="194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6</xdr:row>
      <xdr:rowOff>189865</xdr:rowOff>
    </xdr:from>
    <xdr:to>
      <xdr:col>3</xdr:col>
      <xdr:colOff>6985</xdr:colOff>
      <xdr:row>12</xdr:row>
      <xdr:rowOff>163830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351915"/>
              <a:ext cx="2413635" cy="1126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6123.4317476852" refreshedBy="91805" recordCount="143">
  <cacheSource type="worksheet">
    <worksheetSource name="TABLE_1"/>
  </cacheSource>
  <cacheFields count="11">
    <cacheField name="repo" numFmtId="0">
      <sharedItems count="3">
        <s v="owasp-vulnerableapp"/>
        <s v="owasp-vulnerableapp-facade"/>
        <s v="llmforge"/>
      </sharedItems>
    </cacheField>
    <cacheField name="date" numFmtId="180">
      <sharedItems containsSemiMixedTypes="0" containsString="0" containsNonDate="0" containsDate="1" minDate="2026-02-28T00:00:00" maxDate="2026-04-11T00:00:00" count="43"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</sharedItems>
    </cacheField>
    <cacheField name="month" numFmtId="0">
      <sharedItems count="3">
        <s v="Feb-2026"/>
        <s v="Mar-2026"/>
        <s v="Apr-2026"/>
      </sharedItems>
    </cacheField>
    <cacheField name="time" numFmtId="0">
      <sharedItems count="56">
        <s v="23:21:27Z"/>
        <s v="23:22:01Z"/>
        <s v="03:36:03Z"/>
        <s v="03:25:36Z"/>
        <s v="03:28:05Z"/>
        <s v="03:19:36Z"/>
        <s v="03:24:09Z"/>
        <s v="03:22:43Z"/>
        <s v="03:09:30Z"/>
        <s v="02:09:48Z"/>
        <s v="03:26:01Z"/>
        <s v="03:29:28Z"/>
        <s v="03:20:27Z"/>
        <s v="03:20:09Z"/>
        <s v="03:27:26Z"/>
        <s v="03:23:33Z"/>
        <s v="03:21:25Z"/>
        <s v="00:23:44Z"/>
        <s v="02:17:40Z"/>
        <s v="03:45:50Z"/>
        <s v="04:03:51Z"/>
        <s v="04:17:05Z"/>
        <s v="04:19:16Z"/>
        <s v="03:49:39Z"/>
        <s v="23:57:52Z"/>
        <s v="00:09:06Z"/>
        <s v="03:27:47Z"/>
        <s v="03:34:48Z"/>
        <s v="17:23:16Z"/>
        <s v="03:34:45Z"/>
        <s v="17:05:39Z"/>
        <s v="03:25:01Z"/>
        <s v="03:13:29Z"/>
        <s v="03:34:00Z"/>
        <s v="03:38:22Z"/>
        <s v="03:29:21Z"/>
        <s v="03:32:37Z"/>
        <s v="01:16:04Z"/>
        <s v="03:42:11Z"/>
        <s v="03:44:35Z"/>
        <s v="03:30:31Z"/>
        <s v="03:51:03Z"/>
        <s v="03:53:59Z"/>
        <s v="03:44:56Z"/>
        <s v="03:57:11Z"/>
        <s v="03:38:20Z"/>
        <s v="03:39:52Z"/>
        <s v="03:27:36Z"/>
        <s v="03:49:19Z"/>
        <s v="03:53:00Z"/>
        <s v="03:43:53Z"/>
        <s v="03:46:05Z"/>
        <s v="20:13:43Z"/>
        <s v="03:41:17Z"/>
        <s v="03:55:02Z"/>
        <s v="03:31:29Z"/>
      </sharedItems>
    </cacheField>
    <cacheField name="docker_image" numFmtId="0">
      <sharedItems count="3">
        <s v="sasanlabs/owasp-vulnerableapp"/>
        <s v="sasanlabs/owasp-vulnerableapp-facade"/>
        <s v="sasanlabs/llmforge"/>
      </sharedItems>
    </cacheField>
    <cacheField name="pull_count" numFmtId="0">
      <sharedItems containsSemiMixedTypes="0" containsString="0" containsNumber="1" containsInteger="1" minValue="221" maxValue="60444" count="134">
        <n v="53469"/>
        <n v="28130"/>
        <n v="53735"/>
        <n v="28132"/>
        <n v="53836"/>
        <n v="28154"/>
        <n v="53960"/>
        <n v="28179"/>
        <n v="54056"/>
        <n v="28204"/>
        <n v="54180"/>
        <n v="28243"/>
        <n v="54306"/>
        <n v="28278"/>
        <n v="54450"/>
        <n v="28295"/>
        <n v="54683"/>
        <n v="28314"/>
        <n v="54776"/>
        <n v="54878"/>
        <n v="28330"/>
        <n v="54976"/>
        <n v="28377"/>
        <n v="55133"/>
        <n v="28411"/>
        <n v="55238"/>
        <n v="28435"/>
        <n v="55320"/>
        <n v="28458"/>
        <n v="55400"/>
        <n v="28474"/>
        <n v="55782"/>
        <n v="28492"/>
        <n v="55841"/>
        <n v="28495"/>
        <n v="55928"/>
        <n v="55953"/>
        <n v="28497"/>
        <n v="55974"/>
        <n v="55979"/>
        <n v="56325"/>
        <n v="28522"/>
        <n v="56566"/>
        <n v="221"/>
        <n v="56574"/>
        <n v="28702"/>
        <n v="56663"/>
        <n v="28714"/>
        <n v="223"/>
        <n v="56779"/>
        <n v="28767"/>
        <n v="258"/>
        <n v="56877"/>
        <n v="28798"/>
        <n v="260"/>
        <n v="56938"/>
        <n v="28817"/>
        <n v="263"/>
        <n v="57023"/>
        <n v="28847"/>
        <n v="267"/>
        <n v="57049"/>
        <n v="28856"/>
        <n v="269"/>
        <n v="57144"/>
        <n v="28883"/>
        <n v="279"/>
        <n v="57257"/>
        <n v="28912"/>
        <n v="331"/>
        <n v="57440"/>
        <n v="28940"/>
        <n v="336"/>
        <n v="57604"/>
        <n v="29065"/>
        <n v="383"/>
        <n v="57711"/>
        <n v="29098"/>
        <n v="400"/>
        <n v="57833"/>
        <n v="29111"/>
        <n v="403"/>
        <n v="57891"/>
        <n v="29112"/>
        <n v="57982"/>
        <n v="29139"/>
        <n v="409"/>
        <n v="58095"/>
        <n v="29175"/>
        <n v="410"/>
        <n v="58348"/>
        <n v="29186"/>
        <n v="411"/>
        <n v="58567"/>
        <n v="29498"/>
        <n v="427"/>
        <n v="58730"/>
        <n v="29548"/>
        <n v="441"/>
        <n v="58847"/>
        <n v="29582"/>
        <n v="449"/>
        <n v="59075"/>
        <n v="29598"/>
        <n v="451"/>
        <n v="59193"/>
        <n v="29635"/>
        <n v="454"/>
        <n v="59290"/>
        <n v="29654"/>
        <n v="59385"/>
        <n v="29676"/>
        <n v="455"/>
        <n v="59470"/>
        <n v="29774"/>
        <n v="460"/>
        <n v="59713"/>
        <n v="29892"/>
        <n v="493"/>
        <n v="59981"/>
        <n v="29928"/>
        <n v="500"/>
        <n v="60091"/>
        <n v="29948"/>
        <n v="502"/>
        <n v="60146"/>
        <n v="30019"/>
        <n v="509"/>
        <n v="60278"/>
        <n v="30058"/>
        <n v="540"/>
        <n v="60444"/>
        <n v="30087"/>
        <n v="549"/>
      </sharedItems>
    </cacheField>
    <cacheField name="last_updated" numFmtId="0">
      <sharedItems count="66">
        <s v="2026-02-28T23:21:18.660757Z"/>
        <s v="2026-02-19T18:57:56.113035Z"/>
        <s v="2026-02-28T23:23:10.775075Z"/>
        <s v="2026-03-01T03:37:29.453856Z"/>
        <s v="2026-03-02T03:26:44.947934Z"/>
        <s v="2026-03-03T03:29:19.962078Z"/>
        <s v="2026-03-04T03:20:40.136594Z"/>
        <s v="2026-03-05T03:26:29.353395Z"/>
        <s v="2026-03-06T03:23:50.763357Z"/>
        <s v="2026-03-08T00:18:08.46786Z"/>
        <s v="2026-03-08T02:11:02.459039Z"/>
        <s v="2026-03-08T03:27:48.24069Z"/>
        <s v="2026-03-09T03:30:44.093989Z"/>
        <s v="2026-03-10T20:43:48.258435Z"/>
        <s v="2026-03-11T03:21:27.353461Z"/>
        <s v="2026-03-12T03:28:32.646081Z"/>
        <s v="2026-03-13T03:25:14.078264Z"/>
        <s v="2026-03-14T21:53:07.845253Z"/>
        <s v="2026-03-15T00:24:55.693109Z"/>
        <s v="2026-03-15T02:18:59.984701Z"/>
        <s v="2026-03-15T03:47:04.146415Z"/>
        <s v="2026-03-15T04:16:57.545871Z"/>
        <s v="2026-03-15T04:18:09.794826Z"/>
        <s v="2026-03-15T19:40:07.900495Z"/>
        <s v="2026-03-16T19:58:43.010515Z"/>
        <s v="2026-03-16T20:02:39.010314Z"/>
        <s v="2026-03-16T23:59:14.972892Z"/>
        <s v="2026-03-16T20:06:40.531055Z"/>
        <s v="2026-03-17T00:10:20.361776Z"/>
        <s v="2026-03-17T03:29:03.8476Z"/>
        <s v="2026-03-18T03:36:00.375609Z"/>
        <s v="2026-03-18T17:24:30.428096Z"/>
        <s v="2026-03-19T03:36:04.948634Z"/>
        <s v="2026-03-19T17:07:39.827987Z"/>
        <s v="2026-03-20T03:26:15.30761Z"/>
        <s v="2026-03-21T03:14:45.345669Z"/>
        <s v="2026-03-22T02:07:37.917378Z"/>
        <s v="2026-03-22T21:25:56.296324Z"/>
        <s v="2026-03-23T17:32:27.342321Z"/>
        <s v="2026-03-23T19:42:54.987107Z"/>
        <s v="2026-03-23T04:37:40.02554Z"/>
        <s v="2026-03-24T03:30:31.916299Z"/>
        <s v="2026-03-25T19:16:15.449859Z"/>
        <s v="2026-03-26T01:17:21.094454Z"/>
        <s v="2026-03-26T03:43:14.512775Z"/>
        <s v="2026-03-27T03:45:43.925329Z"/>
        <s v="2026-03-29T01:12:11.241056Z"/>
        <s v="2026-03-29T22:10:55.759905Z"/>
        <s v="2026-03-29T23:57:13.425641Z"/>
        <s v="2026-03-30T03:56:32.194675Z"/>
        <s v="2026-03-31T03:47:19.214781Z"/>
        <s v="2026-04-01T03:59:44.321879Z"/>
        <s v="2026-04-02T03:41:01.547785Z"/>
        <s v="2026-04-03T03:42:30.434959Z"/>
        <s v="2026-04-04T03:30:06.316915Z"/>
        <s v="2026-04-05T03:51:37.998255Z"/>
        <s v="2026-04-07T00:55:14.364003Z"/>
        <s v="2026-04-07T01:07:25.922462Z"/>
        <s v="2026-04-07T00:59:26.214098Z"/>
        <s v="2026-04-07T18:55:22.098278Z"/>
        <s v="2026-04-08T03:48:39.555124Z"/>
        <s v="2026-04-08T20:16:04.489238Z"/>
        <s v="2026-04-09T01:27:03.984543Z"/>
        <s v="2026-04-09T16:38:14.444851Z"/>
        <s v="2026-04-09T18:07:04.348393Z"/>
        <s v="2026-04-10T03:57:20.667765Z"/>
      </sharedItems>
    </cacheField>
    <cacheField name="stars" numFmtId="0">
      <sharedItems containsSemiMixedTypes="0" containsString="0" containsNumber="1" containsInteger="1" minValue="1" maxValue="2" count="2">
        <n v="2"/>
        <n v="1"/>
      </sharedItems>
    </cacheField>
    <cacheField name="forks" numFmtId="0">
      <sharedItems containsSemiMixedTypes="0" containsString="0" containsNumber="1" containsInteger="1" minValue="0" maxValue="0" count="1">
        <n v="0"/>
      </sharedItems>
    </cacheField>
    <cacheField name="official" numFmtId="0">
      <sharedItems count="1">
        <b v="0"/>
      </sharedItems>
    </cacheField>
    <cacheField name="automated" numFmtId="0">
      <sharedItems count="1">
        <b v="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3">
  <r>
    <x v="0"/>
    <x v="0"/>
    <x v="0"/>
    <x v="0"/>
    <x v="0"/>
    <x v="0"/>
    <x v="0"/>
    <x v="0"/>
    <x v="0"/>
    <x v="0"/>
    <x v="0"/>
  </r>
  <r>
    <x v="1"/>
    <x v="0"/>
    <x v="0"/>
    <x v="0"/>
    <x v="1"/>
    <x v="1"/>
    <x v="1"/>
    <x v="1"/>
    <x v="0"/>
    <x v="0"/>
    <x v="0"/>
  </r>
  <r>
    <x v="0"/>
    <x v="0"/>
    <x v="0"/>
    <x v="1"/>
    <x v="0"/>
    <x v="0"/>
    <x v="0"/>
    <x v="0"/>
    <x v="0"/>
    <x v="0"/>
    <x v="0"/>
  </r>
  <r>
    <x v="1"/>
    <x v="0"/>
    <x v="0"/>
    <x v="1"/>
    <x v="1"/>
    <x v="1"/>
    <x v="1"/>
    <x v="1"/>
    <x v="0"/>
    <x v="0"/>
    <x v="0"/>
  </r>
  <r>
    <x v="0"/>
    <x v="1"/>
    <x v="1"/>
    <x v="2"/>
    <x v="0"/>
    <x v="2"/>
    <x v="2"/>
    <x v="0"/>
    <x v="0"/>
    <x v="0"/>
    <x v="0"/>
  </r>
  <r>
    <x v="1"/>
    <x v="1"/>
    <x v="1"/>
    <x v="2"/>
    <x v="1"/>
    <x v="3"/>
    <x v="1"/>
    <x v="1"/>
    <x v="0"/>
    <x v="0"/>
    <x v="0"/>
  </r>
  <r>
    <x v="0"/>
    <x v="2"/>
    <x v="1"/>
    <x v="3"/>
    <x v="0"/>
    <x v="4"/>
    <x v="3"/>
    <x v="0"/>
    <x v="0"/>
    <x v="0"/>
    <x v="0"/>
  </r>
  <r>
    <x v="1"/>
    <x v="2"/>
    <x v="1"/>
    <x v="3"/>
    <x v="1"/>
    <x v="5"/>
    <x v="1"/>
    <x v="1"/>
    <x v="0"/>
    <x v="0"/>
    <x v="0"/>
  </r>
  <r>
    <x v="0"/>
    <x v="3"/>
    <x v="1"/>
    <x v="4"/>
    <x v="0"/>
    <x v="6"/>
    <x v="4"/>
    <x v="0"/>
    <x v="0"/>
    <x v="0"/>
    <x v="0"/>
  </r>
  <r>
    <x v="1"/>
    <x v="3"/>
    <x v="1"/>
    <x v="4"/>
    <x v="1"/>
    <x v="7"/>
    <x v="1"/>
    <x v="1"/>
    <x v="0"/>
    <x v="0"/>
    <x v="0"/>
  </r>
  <r>
    <x v="0"/>
    <x v="4"/>
    <x v="1"/>
    <x v="5"/>
    <x v="0"/>
    <x v="8"/>
    <x v="5"/>
    <x v="0"/>
    <x v="0"/>
    <x v="0"/>
    <x v="0"/>
  </r>
  <r>
    <x v="1"/>
    <x v="4"/>
    <x v="1"/>
    <x v="5"/>
    <x v="1"/>
    <x v="9"/>
    <x v="1"/>
    <x v="1"/>
    <x v="0"/>
    <x v="0"/>
    <x v="0"/>
  </r>
  <r>
    <x v="0"/>
    <x v="5"/>
    <x v="1"/>
    <x v="6"/>
    <x v="0"/>
    <x v="10"/>
    <x v="6"/>
    <x v="0"/>
    <x v="0"/>
    <x v="0"/>
    <x v="0"/>
  </r>
  <r>
    <x v="1"/>
    <x v="5"/>
    <x v="1"/>
    <x v="6"/>
    <x v="1"/>
    <x v="11"/>
    <x v="1"/>
    <x v="1"/>
    <x v="0"/>
    <x v="0"/>
    <x v="0"/>
  </r>
  <r>
    <x v="0"/>
    <x v="6"/>
    <x v="1"/>
    <x v="7"/>
    <x v="0"/>
    <x v="12"/>
    <x v="7"/>
    <x v="0"/>
    <x v="0"/>
    <x v="0"/>
    <x v="0"/>
  </r>
  <r>
    <x v="1"/>
    <x v="6"/>
    <x v="1"/>
    <x v="7"/>
    <x v="1"/>
    <x v="13"/>
    <x v="1"/>
    <x v="1"/>
    <x v="0"/>
    <x v="0"/>
    <x v="0"/>
  </r>
  <r>
    <x v="0"/>
    <x v="7"/>
    <x v="1"/>
    <x v="8"/>
    <x v="0"/>
    <x v="14"/>
    <x v="8"/>
    <x v="0"/>
    <x v="0"/>
    <x v="0"/>
    <x v="0"/>
  </r>
  <r>
    <x v="1"/>
    <x v="7"/>
    <x v="1"/>
    <x v="8"/>
    <x v="1"/>
    <x v="15"/>
    <x v="1"/>
    <x v="1"/>
    <x v="0"/>
    <x v="0"/>
    <x v="0"/>
  </r>
  <r>
    <x v="0"/>
    <x v="8"/>
    <x v="1"/>
    <x v="9"/>
    <x v="0"/>
    <x v="16"/>
    <x v="9"/>
    <x v="0"/>
    <x v="0"/>
    <x v="0"/>
    <x v="0"/>
  </r>
  <r>
    <x v="1"/>
    <x v="8"/>
    <x v="1"/>
    <x v="9"/>
    <x v="1"/>
    <x v="17"/>
    <x v="1"/>
    <x v="1"/>
    <x v="0"/>
    <x v="0"/>
    <x v="0"/>
  </r>
  <r>
    <x v="0"/>
    <x v="8"/>
    <x v="1"/>
    <x v="10"/>
    <x v="0"/>
    <x v="18"/>
    <x v="10"/>
    <x v="0"/>
    <x v="0"/>
    <x v="0"/>
    <x v="0"/>
  </r>
  <r>
    <x v="1"/>
    <x v="8"/>
    <x v="1"/>
    <x v="10"/>
    <x v="1"/>
    <x v="17"/>
    <x v="1"/>
    <x v="1"/>
    <x v="0"/>
    <x v="0"/>
    <x v="0"/>
  </r>
  <r>
    <x v="0"/>
    <x v="9"/>
    <x v="1"/>
    <x v="11"/>
    <x v="0"/>
    <x v="19"/>
    <x v="11"/>
    <x v="0"/>
    <x v="0"/>
    <x v="0"/>
    <x v="0"/>
  </r>
  <r>
    <x v="1"/>
    <x v="9"/>
    <x v="1"/>
    <x v="11"/>
    <x v="1"/>
    <x v="20"/>
    <x v="1"/>
    <x v="1"/>
    <x v="0"/>
    <x v="0"/>
    <x v="0"/>
  </r>
  <r>
    <x v="0"/>
    <x v="10"/>
    <x v="1"/>
    <x v="12"/>
    <x v="0"/>
    <x v="21"/>
    <x v="12"/>
    <x v="0"/>
    <x v="0"/>
    <x v="0"/>
    <x v="0"/>
  </r>
  <r>
    <x v="1"/>
    <x v="10"/>
    <x v="1"/>
    <x v="12"/>
    <x v="1"/>
    <x v="22"/>
    <x v="1"/>
    <x v="1"/>
    <x v="0"/>
    <x v="0"/>
    <x v="0"/>
  </r>
  <r>
    <x v="0"/>
    <x v="11"/>
    <x v="1"/>
    <x v="13"/>
    <x v="0"/>
    <x v="23"/>
    <x v="13"/>
    <x v="0"/>
    <x v="0"/>
    <x v="0"/>
    <x v="0"/>
  </r>
  <r>
    <x v="1"/>
    <x v="11"/>
    <x v="1"/>
    <x v="13"/>
    <x v="1"/>
    <x v="24"/>
    <x v="1"/>
    <x v="1"/>
    <x v="0"/>
    <x v="0"/>
    <x v="0"/>
  </r>
  <r>
    <x v="0"/>
    <x v="12"/>
    <x v="1"/>
    <x v="14"/>
    <x v="0"/>
    <x v="25"/>
    <x v="14"/>
    <x v="0"/>
    <x v="0"/>
    <x v="0"/>
    <x v="0"/>
  </r>
  <r>
    <x v="1"/>
    <x v="12"/>
    <x v="1"/>
    <x v="14"/>
    <x v="1"/>
    <x v="26"/>
    <x v="1"/>
    <x v="1"/>
    <x v="0"/>
    <x v="0"/>
    <x v="0"/>
  </r>
  <r>
    <x v="0"/>
    <x v="13"/>
    <x v="1"/>
    <x v="15"/>
    <x v="0"/>
    <x v="27"/>
    <x v="15"/>
    <x v="0"/>
    <x v="0"/>
    <x v="0"/>
    <x v="0"/>
  </r>
  <r>
    <x v="1"/>
    <x v="13"/>
    <x v="1"/>
    <x v="15"/>
    <x v="1"/>
    <x v="28"/>
    <x v="1"/>
    <x v="1"/>
    <x v="0"/>
    <x v="0"/>
    <x v="0"/>
  </r>
  <r>
    <x v="0"/>
    <x v="14"/>
    <x v="1"/>
    <x v="16"/>
    <x v="0"/>
    <x v="29"/>
    <x v="16"/>
    <x v="0"/>
    <x v="0"/>
    <x v="0"/>
    <x v="0"/>
  </r>
  <r>
    <x v="1"/>
    <x v="14"/>
    <x v="1"/>
    <x v="16"/>
    <x v="1"/>
    <x v="30"/>
    <x v="1"/>
    <x v="1"/>
    <x v="0"/>
    <x v="0"/>
    <x v="0"/>
  </r>
  <r>
    <x v="0"/>
    <x v="15"/>
    <x v="1"/>
    <x v="17"/>
    <x v="0"/>
    <x v="31"/>
    <x v="17"/>
    <x v="0"/>
    <x v="0"/>
    <x v="0"/>
    <x v="0"/>
  </r>
  <r>
    <x v="1"/>
    <x v="15"/>
    <x v="1"/>
    <x v="17"/>
    <x v="1"/>
    <x v="32"/>
    <x v="1"/>
    <x v="1"/>
    <x v="0"/>
    <x v="0"/>
    <x v="0"/>
  </r>
  <r>
    <x v="0"/>
    <x v="15"/>
    <x v="1"/>
    <x v="18"/>
    <x v="0"/>
    <x v="33"/>
    <x v="18"/>
    <x v="0"/>
    <x v="0"/>
    <x v="0"/>
    <x v="0"/>
  </r>
  <r>
    <x v="1"/>
    <x v="15"/>
    <x v="1"/>
    <x v="18"/>
    <x v="1"/>
    <x v="34"/>
    <x v="1"/>
    <x v="1"/>
    <x v="0"/>
    <x v="0"/>
    <x v="0"/>
  </r>
  <r>
    <x v="0"/>
    <x v="15"/>
    <x v="1"/>
    <x v="19"/>
    <x v="0"/>
    <x v="35"/>
    <x v="19"/>
    <x v="0"/>
    <x v="0"/>
    <x v="0"/>
    <x v="0"/>
  </r>
  <r>
    <x v="1"/>
    <x v="15"/>
    <x v="1"/>
    <x v="19"/>
    <x v="1"/>
    <x v="34"/>
    <x v="1"/>
    <x v="1"/>
    <x v="0"/>
    <x v="0"/>
    <x v="0"/>
  </r>
  <r>
    <x v="0"/>
    <x v="15"/>
    <x v="1"/>
    <x v="20"/>
    <x v="0"/>
    <x v="36"/>
    <x v="20"/>
    <x v="0"/>
    <x v="0"/>
    <x v="0"/>
    <x v="0"/>
  </r>
  <r>
    <x v="1"/>
    <x v="15"/>
    <x v="1"/>
    <x v="20"/>
    <x v="1"/>
    <x v="37"/>
    <x v="1"/>
    <x v="1"/>
    <x v="0"/>
    <x v="0"/>
    <x v="0"/>
  </r>
  <r>
    <x v="0"/>
    <x v="15"/>
    <x v="1"/>
    <x v="21"/>
    <x v="0"/>
    <x v="38"/>
    <x v="21"/>
    <x v="0"/>
    <x v="0"/>
    <x v="0"/>
    <x v="0"/>
  </r>
  <r>
    <x v="1"/>
    <x v="15"/>
    <x v="1"/>
    <x v="21"/>
    <x v="1"/>
    <x v="37"/>
    <x v="1"/>
    <x v="1"/>
    <x v="0"/>
    <x v="0"/>
    <x v="0"/>
  </r>
  <r>
    <x v="0"/>
    <x v="15"/>
    <x v="1"/>
    <x v="22"/>
    <x v="0"/>
    <x v="39"/>
    <x v="22"/>
    <x v="0"/>
    <x v="0"/>
    <x v="0"/>
    <x v="0"/>
  </r>
  <r>
    <x v="1"/>
    <x v="15"/>
    <x v="1"/>
    <x v="22"/>
    <x v="1"/>
    <x v="37"/>
    <x v="1"/>
    <x v="1"/>
    <x v="0"/>
    <x v="0"/>
    <x v="0"/>
  </r>
  <r>
    <x v="0"/>
    <x v="16"/>
    <x v="1"/>
    <x v="23"/>
    <x v="0"/>
    <x v="40"/>
    <x v="23"/>
    <x v="0"/>
    <x v="0"/>
    <x v="0"/>
    <x v="0"/>
  </r>
  <r>
    <x v="1"/>
    <x v="16"/>
    <x v="1"/>
    <x v="23"/>
    <x v="1"/>
    <x v="41"/>
    <x v="1"/>
    <x v="1"/>
    <x v="0"/>
    <x v="0"/>
    <x v="0"/>
  </r>
  <r>
    <x v="0"/>
    <x v="16"/>
    <x v="1"/>
    <x v="24"/>
    <x v="0"/>
    <x v="42"/>
    <x v="24"/>
    <x v="0"/>
    <x v="0"/>
    <x v="0"/>
    <x v="0"/>
  </r>
  <r>
    <x v="2"/>
    <x v="16"/>
    <x v="1"/>
    <x v="24"/>
    <x v="2"/>
    <x v="43"/>
    <x v="25"/>
    <x v="1"/>
    <x v="0"/>
    <x v="0"/>
    <x v="0"/>
  </r>
  <r>
    <x v="0"/>
    <x v="17"/>
    <x v="1"/>
    <x v="25"/>
    <x v="0"/>
    <x v="44"/>
    <x v="26"/>
    <x v="0"/>
    <x v="0"/>
    <x v="0"/>
    <x v="0"/>
  </r>
  <r>
    <x v="1"/>
    <x v="17"/>
    <x v="1"/>
    <x v="25"/>
    <x v="1"/>
    <x v="45"/>
    <x v="27"/>
    <x v="1"/>
    <x v="0"/>
    <x v="0"/>
    <x v="0"/>
  </r>
  <r>
    <x v="2"/>
    <x v="17"/>
    <x v="1"/>
    <x v="25"/>
    <x v="2"/>
    <x v="43"/>
    <x v="25"/>
    <x v="1"/>
    <x v="0"/>
    <x v="0"/>
    <x v="0"/>
  </r>
  <r>
    <x v="0"/>
    <x v="17"/>
    <x v="1"/>
    <x v="26"/>
    <x v="0"/>
    <x v="46"/>
    <x v="28"/>
    <x v="0"/>
    <x v="0"/>
    <x v="0"/>
    <x v="0"/>
  </r>
  <r>
    <x v="1"/>
    <x v="17"/>
    <x v="1"/>
    <x v="26"/>
    <x v="1"/>
    <x v="47"/>
    <x v="27"/>
    <x v="1"/>
    <x v="0"/>
    <x v="0"/>
    <x v="0"/>
  </r>
  <r>
    <x v="2"/>
    <x v="17"/>
    <x v="1"/>
    <x v="26"/>
    <x v="2"/>
    <x v="48"/>
    <x v="25"/>
    <x v="1"/>
    <x v="0"/>
    <x v="0"/>
    <x v="0"/>
  </r>
  <r>
    <x v="0"/>
    <x v="18"/>
    <x v="1"/>
    <x v="27"/>
    <x v="0"/>
    <x v="49"/>
    <x v="29"/>
    <x v="0"/>
    <x v="0"/>
    <x v="0"/>
    <x v="0"/>
  </r>
  <r>
    <x v="1"/>
    <x v="18"/>
    <x v="1"/>
    <x v="27"/>
    <x v="1"/>
    <x v="50"/>
    <x v="27"/>
    <x v="1"/>
    <x v="0"/>
    <x v="0"/>
    <x v="0"/>
  </r>
  <r>
    <x v="2"/>
    <x v="18"/>
    <x v="1"/>
    <x v="27"/>
    <x v="2"/>
    <x v="51"/>
    <x v="25"/>
    <x v="1"/>
    <x v="0"/>
    <x v="0"/>
    <x v="0"/>
  </r>
  <r>
    <x v="0"/>
    <x v="18"/>
    <x v="1"/>
    <x v="28"/>
    <x v="0"/>
    <x v="52"/>
    <x v="30"/>
    <x v="0"/>
    <x v="0"/>
    <x v="0"/>
    <x v="0"/>
  </r>
  <r>
    <x v="1"/>
    <x v="18"/>
    <x v="1"/>
    <x v="28"/>
    <x v="1"/>
    <x v="53"/>
    <x v="27"/>
    <x v="1"/>
    <x v="0"/>
    <x v="0"/>
    <x v="0"/>
  </r>
  <r>
    <x v="2"/>
    <x v="18"/>
    <x v="1"/>
    <x v="28"/>
    <x v="2"/>
    <x v="54"/>
    <x v="25"/>
    <x v="1"/>
    <x v="0"/>
    <x v="0"/>
    <x v="0"/>
  </r>
  <r>
    <x v="0"/>
    <x v="19"/>
    <x v="1"/>
    <x v="29"/>
    <x v="0"/>
    <x v="55"/>
    <x v="31"/>
    <x v="0"/>
    <x v="0"/>
    <x v="0"/>
    <x v="0"/>
  </r>
  <r>
    <x v="1"/>
    <x v="19"/>
    <x v="1"/>
    <x v="29"/>
    <x v="1"/>
    <x v="56"/>
    <x v="27"/>
    <x v="1"/>
    <x v="0"/>
    <x v="0"/>
    <x v="0"/>
  </r>
  <r>
    <x v="2"/>
    <x v="19"/>
    <x v="1"/>
    <x v="29"/>
    <x v="2"/>
    <x v="57"/>
    <x v="25"/>
    <x v="1"/>
    <x v="0"/>
    <x v="0"/>
    <x v="0"/>
  </r>
  <r>
    <x v="0"/>
    <x v="19"/>
    <x v="1"/>
    <x v="30"/>
    <x v="0"/>
    <x v="58"/>
    <x v="32"/>
    <x v="0"/>
    <x v="0"/>
    <x v="0"/>
    <x v="0"/>
  </r>
  <r>
    <x v="1"/>
    <x v="19"/>
    <x v="1"/>
    <x v="30"/>
    <x v="1"/>
    <x v="59"/>
    <x v="27"/>
    <x v="1"/>
    <x v="0"/>
    <x v="0"/>
    <x v="0"/>
  </r>
  <r>
    <x v="2"/>
    <x v="19"/>
    <x v="1"/>
    <x v="30"/>
    <x v="2"/>
    <x v="60"/>
    <x v="25"/>
    <x v="1"/>
    <x v="0"/>
    <x v="0"/>
    <x v="0"/>
  </r>
  <r>
    <x v="0"/>
    <x v="20"/>
    <x v="1"/>
    <x v="31"/>
    <x v="0"/>
    <x v="61"/>
    <x v="33"/>
    <x v="0"/>
    <x v="0"/>
    <x v="0"/>
    <x v="0"/>
  </r>
  <r>
    <x v="1"/>
    <x v="20"/>
    <x v="1"/>
    <x v="31"/>
    <x v="1"/>
    <x v="62"/>
    <x v="27"/>
    <x v="1"/>
    <x v="0"/>
    <x v="0"/>
    <x v="0"/>
  </r>
  <r>
    <x v="2"/>
    <x v="20"/>
    <x v="1"/>
    <x v="31"/>
    <x v="2"/>
    <x v="63"/>
    <x v="25"/>
    <x v="1"/>
    <x v="0"/>
    <x v="0"/>
    <x v="0"/>
  </r>
  <r>
    <x v="0"/>
    <x v="21"/>
    <x v="1"/>
    <x v="32"/>
    <x v="0"/>
    <x v="64"/>
    <x v="34"/>
    <x v="0"/>
    <x v="0"/>
    <x v="0"/>
    <x v="0"/>
  </r>
  <r>
    <x v="1"/>
    <x v="21"/>
    <x v="1"/>
    <x v="32"/>
    <x v="1"/>
    <x v="65"/>
    <x v="27"/>
    <x v="1"/>
    <x v="0"/>
    <x v="0"/>
    <x v="0"/>
  </r>
  <r>
    <x v="2"/>
    <x v="21"/>
    <x v="1"/>
    <x v="32"/>
    <x v="2"/>
    <x v="66"/>
    <x v="25"/>
    <x v="1"/>
    <x v="0"/>
    <x v="0"/>
    <x v="0"/>
  </r>
  <r>
    <x v="0"/>
    <x v="22"/>
    <x v="1"/>
    <x v="33"/>
    <x v="0"/>
    <x v="67"/>
    <x v="35"/>
    <x v="0"/>
    <x v="0"/>
    <x v="0"/>
    <x v="0"/>
  </r>
  <r>
    <x v="1"/>
    <x v="22"/>
    <x v="1"/>
    <x v="33"/>
    <x v="1"/>
    <x v="68"/>
    <x v="27"/>
    <x v="1"/>
    <x v="0"/>
    <x v="0"/>
    <x v="0"/>
  </r>
  <r>
    <x v="2"/>
    <x v="22"/>
    <x v="1"/>
    <x v="33"/>
    <x v="2"/>
    <x v="69"/>
    <x v="36"/>
    <x v="1"/>
    <x v="0"/>
    <x v="0"/>
    <x v="0"/>
  </r>
  <r>
    <x v="0"/>
    <x v="23"/>
    <x v="1"/>
    <x v="34"/>
    <x v="0"/>
    <x v="70"/>
    <x v="37"/>
    <x v="0"/>
    <x v="0"/>
    <x v="0"/>
    <x v="0"/>
  </r>
  <r>
    <x v="1"/>
    <x v="23"/>
    <x v="1"/>
    <x v="34"/>
    <x v="1"/>
    <x v="71"/>
    <x v="27"/>
    <x v="1"/>
    <x v="0"/>
    <x v="0"/>
    <x v="0"/>
  </r>
  <r>
    <x v="2"/>
    <x v="23"/>
    <x v="1"/>
    <x v="34"/>
    <x v="2"/>
    <x v="72"/>
    <x v="36"/>
    <x v="1"/>
    <x v="0"/>
    <x v="0"/>
    <x v="0"/>
  </r>
  <r>
    <x v="0"/>
    <x v="24"/>
    <x v="1"/>
    <x v="35"/>
    <x v="0"/>
    <x v="73"/>
    <x v="38"/>
    <x v="0"/>
    <x v="0"/>
    <x v="0"/>
    <x v="0"/>
  </r>
  <r>
    <x v="1"/>
    <x v="24"/>
    <x v="1"/>
    <x v="35"/>
    <x v="1"/>
    <x v="74"/>
    <x v="39"/>
    <x v="1"/>
    <x v="0"/>
    <x v="0"/>
    <x v="0"/>
  </r>
  <r>
    <x v="2"/>
    <x v="24"/>
    <x v="1"/>
    <x v="35"/>
    <x v="2"/>
    <x v="75"/>
    <x v="40"/>
    <x v="1"/>
    <x v="0"/>
    <x v="0"/>
    <x v="0"/>
  </r>
  <r>
    <x v="0"/>
    <x v="25"/>
    <x v="1"/>
    <x v="36"/>
    <x v="0"/>
    <x v="76"/>
    <x v="41"/>
    <x v="0"/>
    <x v="0"/>
    <x v="0"/>
    <x v="0"/>
  </r>
  <r>
    <x v="1"/>
    <x v="25"/>
    <x v="1"/>
    <x v="36"/>
    <x v="1"/>
    <x v="77"/>
    <x v="39"/>
    <x v="1"/>
    <x v="0"/>
    <x v="0"/>
    <x v="0"/>
  </r>
  <r>
    <x v="2"/>
    <x v="25"/>
    <x v="1"/>
    <x v="36"/>
    <x v="2"/>
    <x v="78"/>
    <x v="40"/>
    <x v="1"/>
    <x v="0"/>
    <x v="0"/>
    <x v="0"/>
  </r>
  <r>
    <x v="0"/>
    <x v="26"/>
    <x v="1"/>
    <x v="37"/>
    <x v="0"/>
    <x v="79"/>
    <x v="42"/>
    <x v="0"/>
    <x v="0"/>
    <x v="0"/>
    <x v="0"/>
  </r>
  <r>
    <x v="1"/>
    <x v="26"/>
    <x v="1"/>
    <x v="37"/>
    <x v="1"/>
    <x v="80"/>
    <x v="39"/>
    <x v="1"/>
    <x v="0"/>
    <x v="0"/>
    <x v="0"/>
  </r>
  <r>
    <x v="2"/>
    <x v="26"/>
    <x v="1"/>
    <x v="37"/>
    <x v="2"/>
    <x v="81"/>
    <x v="40"/>
    <x v="1"/>
    <x v="0"/>
    <x v="0"/>
    <x v="0"/>
  </r>
  <r>
    <x v="0"/>
    <x v="26"/>
    <x v="1"/>
    <x v="38"/>
    <x v="0"/>
    <x v="82"/>
    <x v="43"/>
    <x v="0"/>
    <x v="0"/>
    <x v="0"/>
    <x v="0"/>
  </r>
  <r>
    <x v="1"/>
    <x v="26"/>
    <x v="1"/>
    <x v="38"/>
    <x v="1"/>
    <x v="83"/>
    <x v="39"/>
    <x v="1"/>
    <x v="0"/>
    <x v="0"/>
    <x v="0"/>
  </r>
  <r>
    <x v="2"/>
    <x v="26"/>
    <x v="1"/>
    <x v="38"/>
    <x v="2"/>
    <x v="81"/>
    <x v="40"/>
    <x v="1"/>
    <x v="0"/>
    <x v="0"/>
    <x v="0"/>
  </r>
  <r>
    <x v="0"/>
    <x v="27"/>
    <x v="1"/>
    <x v="39"/>
    <x v="0"/>
    <x v="84"/>
    <x v="44"/>
    <x v="0"/>
    <x v="0"/>
    <x v="0"/>
    <x v="0"/>
  </r>
  <r>
    <x v="1"/>
    <x v="27"/>
    <x v="1"/>
    <x v="39"/>
    <x v="1"/>
    <x v="85"/>
    <x v="39"/>
    <x v="1"/>
    <x v="0"/>
    <x v="0"/>
    <x v="0"/>
  </r>
  <r>
    <x v="2"/>
    <x v="27"/>
    <x v="1"/>
    <x v="39"/>
    <x v="2"/>
    <x v="86"/>
    <x v="40"/>
    <x v="1"/>
    <x v="0"/>
    <x v="0"/>
    <x v="0"/>
  </r>
  <r>
    <x v="0"/>
    <x v="28"/>
    <x v="1"/>
    <x v="40"/>
    <x v="0"/>
    <x v="87"/>
    <x v="45"/>
    <x v="0"/>
    <x v="0"/>
    <x v="0"/>
    <x v="0"/>
  </r>
  <r>
    <x v="1"/>
    <x v="28"/>
    <x v="1"/>
    <x v="40"/>
    <x v="1"/>
    <x v="88"/>
    <x v="39"/>
    <x v="1"/>
    <x v="0"/>
    <x v="0"/>
    <x v="0"/>
  </r>
  <r>
    <x v="2"/>
    <x v="28"/>
    <x v="1"/>
    <x v="40"/>
    <x v="2"/>
    <x v="89"/>
    <x v="40"/>
    <x v="1"/>
    <x v="0"/>
    <x v="0"/>
    <x v="0"/>
  </r>
  <r>
    <x v="0"/>
    <x v="29"/>
    <x v="1"/>
    <x v="41"/>
    <x v="0"/>
    <x v="90"/>
    <x v="46"/>
    <x v="0"/>
    <x v="0"/>
    <x v="0"/>
    <x v="0"/>
  </r>
  <r>
    <x v="1"/>
    <x v="29"/>
    <x v="1"/>
    <x v="41"/>
    <x v="1"/>
    <x v="91"/>
    <x v="39"/>
    <x v="1"/>
    <x v="0"/>
    <x v="0"/>
    <x v="0"/>
  </r>
  <r>
    <x v="2"/>
    <x v="29"/>
    <x v="1"/>
    <x v="41"/>
    <x v="2"/>
    <x v="92"/>
    <x v="40"/>
    <x v="1"/>
    <x v="0"/>
    <x v="0"/>
    <x v="0"/>
  </r>
  <r>
    <x v="0"/>
    <x v="30"/>
    <x v="1"/>
    <x v="42"/>
    <x v="0"/>
    <x v="93"/>
    <x v="47"/>
    <x v="0"/>
    <x v="0"/>
    <x v="0"/>
    <x v="0"/>
  </r>
  <r>
    <x v="1"/>
    <x v="30"/>
    <x v="1"/>
    <x v="42"/>
    <x v="1"/>
    <x v="94"/>
    <x v="48"/>
    <x v="1"/>
    <x v="0"/>
    <x v="0"/>
    <x v="0"/>
  </r>
  <r>
    <x v="2"/>
    <x v="30"/>
    <x v="1"/>
    <x v="42"/>
    <x v="2"/>
    <x v="95"/>
    <x v="40"/>
    <x v="1"/>
    <x v="0"/>
    <x v="0"/>
    <x v="0"/>
  </r>
  <r>
    <x v="0"/>
    <x v="31"/>
    <x v="1"/>
    <x v="43"/>
    <x v="0"/>
    <x v="96"/>
    <x v="49"/>
    <x v="0"/>
    <x v="0"/>
    <x v="0"/>
    <x v="0"/>
  </r>
  <r>
    <x v="1"/>
    <x v="31"/>
    <x v="1"/>
    <x v="43"/>
    <x v="1"/>
    <x v="97"/>
    <x v="48"/>
    <x v="1"/>
    <x v="0"/>
    <x v="0"/>
    <x v="0"/>
  </r>
  <r>
    <x v="2"/>
    <x v="31"/>
    <x v="1"/>
    <x v="43"/>
    <x v="2"/>
    <x v="98"/>
    <x v="40"/>
    <x v="1"/>
    <x v="0"/>
    <x v="0"/>
    <x v="0"/>
  </r>
  <r>
    <x v="0"/>
    <x v="32"/>
    <x v="2"/>
    <x v="44"/>
    <x v="0"/>
    <x v="99"/>
    <x v="50"/>
    <x v="0"/>
    <x v="0"/>
    <x v="0"/>
    <x v="0"/>
  </r>
  <r>
    <x v="1"/>
    <x v="32"/>
    <x v="2"/>
    <x v="44"/>
    <x v="1"/>
    <x v="100"/>
    <x v="48"/>
    <x v="1"/>
    <x v="0"/>
    <x v="0"/>
    <x v="0"/>
  </r>
  <r>
    <x v="2"/>
    <x v="32"/>
    <x v="2"/>
    <x v="44"/>
    <x v="2"/>
    <x v="101"/>
    <x v="40"/>
    <x v="1"/>
    <x v="0"/>
    <x v="0"/>
    <x v="0"/>
  </r>
  <r>
    <x v="0"/>
    <x v="33"/>
    <x v="2"/>
    <x v="45"/>
    <x v="0"/>
    <x v="102"/>
    <x v="51"/>
    <x v="0"/>
    <x v="0"/>
    <x v="0"/>
    <x v="0"/>
  </r>
  <r>
    <x v="1"/>
    <x v="33"/>
    <x v="2"/>
    <x v="45"/>
    <x v="1"/>
    <x v="103"/>
    <x v="48"/>
    <x v="1"/>
    <x v="0"/>
    <x v="0"/>
    <x v="0"/>
  </r>
  <r>
    <x v="2"/>
    <x v="33"/>
    <x v="2"/>
    <x v="45"/>
    <x v="2"/>
    <x v="104"/>
    <x v="40"/>
    <x v="1"/>
    <x v="0"/>
    <x v="0"/>
    <x v="0"/>
  </r>
  <r>
    <x v="0"/>
    <x v="34"/>
    <x v="2"/>
    <x v="46"/>
    <x v="0"/>
    <x v="105"/>
    <x v="52"/>
    <x v="0"/>
    <x v="0"/>
    <x v="0"/>
    <x v="0"/>
  </r>
  <r>
    <x v="1"/>
    <x v="34"/>
    <x v="2"/>
    <x v="46"/>
    <x v="1"/>
    <x v="106"/>
    <x v="48"/>
    <x v="1"/>
    <x v="0"/>
    <x v="0"/>
    <x v="0"/>
  </r>
  <r>
    <x v="2"/>
    <x v="34"/>
    <x v="2"/>
    <x v="46"/>
    <x v="2"/>
    <x v="107"/>
    <x v="40"/>
    <x v="1"/>
    <x v="0"/>
    <x v="0"/>
    <x v="0"/>
  </r>
  <r>
    <x v="0"/>
    <x v="35"/>
    <x v="2"/>
    <x v="47"/>
    <x v="0"/>
    <x v="108"/>
    <x v="53"/>
    <x v="0"/>
    <x v="0"/>
    <x v="0"/>
    <x v="0"/>
  </r>
  <r>
    <x v="1"/>
    <x v="35"/>
    <x v="2"/>
    <x v="47"/>
    <x v="1"/>
    <x v="109"/>
    <x v="48"/>
    <x v="1"/>
    <x v="0"/>
    <x v="0"/>
    <x v="0"/>
  </r>
  <r>
    <x v="2"/>
    <x v="35"/>
    <x v="2"/>
    <x v="47"/>
    <x v="2"/>
    <x v="107"/>
    <x v="40"/>
    <x v="1"/>
    <x v="0"/>
    <x v="0"/>
    <x v="0"/>
  </r>
  <r>
    <x v="0"/>
    <x v="36"/>
    <x v="2"/>
    <x v="48"/>
    <x v="0"/>
    <x v="110"/>
    <x v="54"/>
    <x v="0"/>
    <x v="0"/>
    <x v="0"/>
    <x v="0"/>
  </r>
  <r>
    <x v="1"/>
    <x v="36"/>
    <x v="2"/>
    <x v="48"/>
    <x v="1"/>
    <x v="111"/>
    <x v="48"/>
    <x v="1"/>
    <x v="0"/>
    <x v="0"/>
    <x v="0"/>
  </r>
  <r>
    <x v="2"/>
    <x v="36"/>
    <x v="2"/>
    <x v="48"/>
    <x v="2"/>
    <x v="112"/>
    <x v="40"/>
    <x v="1"/>
    <x v="0"/>
    <x v="0"/>
    <x v="0"/>
  </r>
  <r>
    <x v="0"/>
    <x v="37"/>
    <x v="2"/>
    <x v="49"/>
    <x v="0"/>
    <x v="113"/>
    <x v="55"/>
    <x v="0"/>
    <x v="0"/>
    <x v="0"/>
    <x v="0"/>
  </r>
  <r>
    <x v="1"/>
    <x v="37"/>
    <x v="2"/>
    <x v="49"/>
    <x v="1"/>
    <x v="114"/>
    <x v="48"/>
    <x v="1"/>
    <x v="0"/>
    <x v="0"/>
    <x v="0"/>
  </r>
  <r>
    <x v="2"/>
    <x v="37"/>
    <x v="2"/>
    <x v="49"/>
    <x v="2"/>
    <x v="115"/>
    <x v="40"/>
    <x v="1"/>
    <x v="0"/>
    <x v="0"/>
    <x v="0"/>
  </r>
  <r>
    <x v="0"/>
    <x v="38"/>
    <x v="2"/>
    <x v="50"/>
    <x v="0"/>
    <x v="116"/>
    <x v="56"/>
    <x v="0"/>
    <x v="0"/>
    <x v="0"/>
    <x v="0"/>
  </r>
  <r>
    <x v="1"/>
    <x v="38"/>
    <x v="2"/>
    <x v="50"/>
    <x v="1"/>
    <x v="117"/>
    <x v="57"/>
    <x v="1"/>
    <x v="0"/>
    <x v="0"/>
    <x v="0"/>
  </r>
  <r>
    <x v="2"/>
    <x v="38"/>
    <x v="2"/>
    <x v="50"/>
    <x v="2"/>
    <x v="118"/>
    <x v="58"/>
    <x v="1"/>
    <x v="0"/>
    <x v="0"/>
    <x v="0"/>
  </r>
  <r>
    <x v="0"/>
    <x v="39"/>
    <x v="2"/>
    <x v="51"/>
    <x v="0"/>
    <x v="119"/>
    <x v="59"/>
    <x v="0"/>
    <x v="0"/>
    <x v="0"/>
    <x v="0"/>
  </r>
  <r>
    <x v="1"/>
    <x v="39"/>
    <x v="2"/>
    <x v="51"/>
    <x v="1"/>
    <x v="120"/>
    <x v="57"/>
    <x v="1"/>
    <x v="0"/>
    <x v="0"/>
    <x v="0"/>
  </r>
  <r>
    <x v="2"/>
    <x v="39"/>
    <x v="2"/>
    <x v="51"/>
    <x v="2"/>
    <x v="121"/>
    <x v="58"/>
    <x v="1"/>
    <x v="0"/>
    <x v="0"/>
    <x v="0"/>
  </r>
  <r>
    <x v="0"/>
    <x v="39"/>
    <x v="2"/>
    <x v="52"/>
    <x v="0"/>
    <x v="122"/>
    <x v="60"/>
    <x v="0"/>
    <x v="0"/>
    <x v="0"/>
    <x v="0"/>
  </r>
  <r>
    <x v="1"/>
    <x v="39"/>
    <x v="2"/>
    <x v="52"/>
    <x v="1"/>
    <x v="123"/>
    <x v="57"/>
    <x v="1"/>
    <x v="0"/>
    <x v="0"/>
    <x v="0"/>
  </r>
  <r>
    <x v="2"/>
    <x v="39"/>
    <x v="2"/>
    <x v="52"/>
    <x v="2"/>
    <x v="124"/>
    <x v="58"/>
    <x v="1"/>
    <x v="0"/>
    <x v="0"/>
    <x v="0"/>
  </r>
  <r>
    <x v="0"/>
    <x v="40"/>
    <x v="2"/>
    <x v="53"/>
    <x v="0"/>
    <x v="125"/>
    <x v="61"/>
    <x v="0"/>
    <x v="0"/>
    <x v="0"/>
    <x v="0"/>
  </r>
  <r>
    <x v="1"/>
    <x v="40"/>
    <x v="2"/>
    <x v="53"/>
    <x v="1"/>
    <x v="126"/>
    <x v="62"/>
    <x v="1"/>
    <x v="0"/>
    <x v="0"/>
    <x v="0"/>
  </r>
  <r>
    <x v="2"/>
    <x v="40"/>
    <x v="2"/>
    <x v="53"/>
    <x v="2"/>
    <x v="127"/>
    <x v="58"/>
    <x v="1"/>
    <x v="0"/>
    <x v="0"/>
    <x v="0"/>
  </r>
  <r>
    <x v="0"/>
    <x v="41"/>
    <x v="2"/>
    <x v="54"/>
    <x v="0"/>
    <x v="128"/>
    <x v="63"/>
    <x v="0"/>
    <x v="0"/>
    <x v="0"/>
    <x v="0"/>
  </r>
  <r>
    <x v="1"/>
    <x v="41"/>
    <x v="2"/>
    <x v="54"/>
    <x v="1"/>
    <x v="129"/>
    <x v="62"/>
    <x v="1"/>
    <x v="0"/>
    <x v="0"/>
    <x v="0"/>
  </r>
  <r>
    <x v="2"/>
    <x v="41"/>
    <x v="2"/>
    <x v="54"/>
    <x v="2"/>
    <x v="130"/>
    <x v="64"/>
    <x v="1"/>
    <x v="0"/>
    <x v="0"/>
    <x v="0"/>
  </r>
  <r>
    <x v="0"/>
    <x v="42"/>
    <x v="2"/>
    <x v="55"/>
    <x v="0"/>
    <x v="131"/>
    <x v="65"/>
    <x v="0"/>
    <x v="0"/>
    <x v="0"/>
    <x v="0"/>
  </r>
  <r>
    <x v="1"/>
    <x v="42"/>
    <x v="2"/>
    <x v="55"/>
    <x v="1"/>
    <x v="132"/>
    <x v="62"/>
    <x v="1"/>
    <x v="0"/>
    <x v="0"/>
    <x v="0"/>
  </r>
  <r>
    <x v="2"/>
    <x v="42"/>
    <x v="2"/>
    <x v="55"/>
    <x v="2"/>
    <x v="133"/>
    <x v="64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chartFormat="2">
  <location ref="M1:Q48" firstHeaderRow="1" firstDataRow="2" firstDataCol="2"/>
  <pivotFields count="11">
    <pivotField axis="axisCol" compact="0" showAll="0">
      <items count="4">
        <item x="2"/>
        <item x="0"/>
        <item x="1"/>
        <item t="default"/>
      </items>
    </pivotField>
    <pivotField axis="axisRow"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7">
        <item x="25"/>
        <item x="17"/>
        <item x="37"/>
        <item x="9"/>
        <item x="18"/>
        <item x="8"/>
        <item x="32"/>
        <item x="5"/>
        <item x="13"/>
        <item x="12"/>
        <item x="16"/>
        <item x="7"/>
        <item x="15"/>
        <item x="6"/>
        <item x="31"/>
        <item x="3"/>
        <item x="10"/>
        <item x="14"/>
        <item x="26"/>
        <item x="4"/>
        <item x="35"/>
        <item x="11"/>
        <item x="40"/>
        <item x="36"/>
        <item x="33"/>
        <item x="29"/>
        <item x="27"/>
        <item x="2"/>
        <item x="34"/>
        <item x="38"/>
        <item x="39"/>
        <item x="19"/>
        <item x="23"/>
        <item x="20"/>
        <item x="21"/>
        <item x="22"/>
        <item x="30"/>
        <item x="28"/>
        <item x="0"/>
        <item x="1"/>
        <item x="24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135">
        <item x="43"/>
        <item x="48"/>
        <item x="51"/>
        <item x="54"/>
        <item x="57"/>
        <item x="60"/>
        <item x="63"/>
        <item x="66"/>
        <item x="69"/>
        <item x="72"/>
        <item x="75"/>
        <item x="78"/>
        <item x="81"/>
        <item x="86"/>
        <item x="89"/>
        <item x="1"/>
        <item x="3"/>
        <item x="5"/>
        <item x="7"/>
        <item x="9"/>
        <item x="11"/>
        <item x="13"/>
        <item x="15"/>
        <item x="17"/>
        <item x="20"/>
        <item x="22"/>
        <item x="24"/>
        <item x="26"/>
        <item x="28"/>
        <item x="30"/>
        <item x="32"/>
        <item x="34"/>
        <item x="37"/>
        <item x="41"/>
        <item x="45"/>
        <item x="47"/>
        <item x="50"/>
        <item x="53"/>
        <item x="56"/>
        <item x="59"/>
        <item x="62"/>
        <item x="65"/>
        <item x="68"/>
        <item x="71"/>
        <item x="74"/>
        <item x="77"/>
        <item x="80"/>
        <item x="83"/>
        <item x="85"/>
        <item x="88"/>
        <item x="0"/>
        <item x="2"/>
        <item x="4"/>
        <item x="6"/>
        <item x="8"/>
        <item x="10"/>
        <item x="12"/>
        <item x="14"/>
        <item x="16"/>
        <item x="18"/>
        <item x="19"/>
        <item x="21"/>
        <item x="23"/>
        <item x="25"/>
        <item x="27"/>
        <item x="29"/>
        <item x="31"/>
        <item x="33"/>
        <item x="35"/>
        <item x="36"/>
        <item x="38"/>
        <item x="39"/>
        <item x="40"/>
        <item x="42"/>
        <item x="44"/>
        <item x="46"/>
        <item x="49"/>
        <item x="52"/>
        <item x="55"/>
        <item x="58"/>
        <item x="61"/>
        <item x="64"/>
        <item x="67"/>
        <item x="70"/>
        <item x="73"/>
        <item x="76"/>
        <item x="79"/>
        <item x="82"/>
        <item x="84"/>
        <item x="87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compact="0" showAll="0">
      <items count="67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x="29"/>
        <item x="30"/>
        <item x="31"/>
        <item x="32"/>
        <item x="33"/>
        <item x="34"/>
        <item x="35"/>
        <item x="36"/>
        <item x="37"/>
        <item x="40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2">
    <field x="2"/>
    <field x="1"/>
  </rowFields>
  <rowItems count="4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</rowItems>
  <colFields count="1">
    <field x="0"/>
  </colFields>
  <colItems count="3">
    <i>
      <x/>
    </i>
    <i>
      <x v="1"/>
    </i>
    <i>
      <x v="2"/>
    </i>
  </colItems>
  <dataFields count="1">
    <dataField name="PULL COUNT" fld="5" subtotal="max" baseField="0" baseItem="0"/>
  </dataFields>
  <formats count="273">
    <format dxfId="0">
      <pivotArea type="origin" dataOnly="0" labelOnly="1" outline="0" fieldPosition="0"/>
    </format>
    <format dxfId="1">
      <pivotArea field="0" type="button" dataOnly="0" labelOnly="1" outline="0" fieldPosition="0"/>
    </format>
    <format dxfId="2">
      <pivotArea field="1" type="button" dataOnly="0" labelOnly="1" outline="0" fieldPosition="0"/>
    </format>
    <format dxfId="3">
      <pivotArea dataOnly="0" labelOnly="1" fieldPosition="0">
        <references count="1">
          <reference field="0" count="1">
            <x v="0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5">
      <pivotArea dataOnly="0" labelOnly="1" fieldPosition="0">
        <references count="1">
          <reference field="0" count="1">
            <x v="2"/>
          </reference>
        </references>
      </pivotArea>
    </format>
    <format dxfId="6">
      <pivotArea type="origin" dataOnly="0" labelOnly="1" outline="0" fieldPosition="0"/>
    </format>
    <format dxfId="7">
      <pivotArea field="0" type="button" dataOnly="0" labelOnly="1" outline="0" fieldPosition="0"/>
    </format>
    <format dxfId="8">
      <pivotArea field="1" type="button" dataOnly="0" labelOnly="1" outline="0" fieldPosition="0"/>
    </format>
    <format dxfId="9">
      <pivotArea dataOnly="0" labelOnly="1" fieldPosition="0">
        <references count="1">
          <reference field="0" count="1">
            <x v="0"/>
          </reference>
        </references>
      </pivotArea>
    </format>
    <format dxfId="10">
      <pivotArea dataOnly="0" labelOnly="1" fieldPosition="0">
        <references count="1">
          <reference field="0" count="1">
            <x v="1"/>
          </reference>
        </references>
      </pivotArea>
    </format>
    <format dxfId="11">
      <pivotArea dataOnly="0" labelOnly="1" fieldPosition="0">
        <references count="1">
          <reference field="0" count="1">
            <x v="2"/>
          </reference>
        </references>
      </pivotArea>
    </format>
    <format dxfId="12">
      <pivotArea type="origin" dataOnly="0" labelOnly="1" outline="0" fieldPosition="0"/>
    </format>
    <format dxfId="13">
      <pivotArea field="0" type="button" dataOnly="0" labelOnly="1" outline="0" fieldPosition="0"/>
    </format>
    <format dxfId="14">
      <pivotArea field="1" type="button" dataOnly="0" labelOnly="1" outline="0" fieldPosition="0"/>
    </format>
    <format dxfId="15">
      <pivotArea dataOnly="0" labelOnly="1" fieldPosition="0">
        <references count="1">
          <reference field="0" count="1">
            <x v="0"/>
          </reference>
        </references>
      </pivotArea>
    </format>
    <format dxfId="16">
      <pivotArea dataOnly="0" labelOnly="1" fieldPosition="0">
        <references count="1">
          <reference field="0" count="1">
            <x v="1"/>
          </reference>
        </references>
      </pivotArea>
    </format>
    <format dxfId="17">
      <pivotArea dataOnly="0" labelOnly="1" fieldPosition="0">
        <references count="1">
          <reference field="0" count="1">
            <x v="2"/>
          </reference>
        </references>
      </pivotArea>
    </format>
    <format dxfId="18">
      <pivotArea type="origin" dataOnly="0" labelOnly="1" outline="0" fieldPosition="0"/>
    </format>
    <format dxfId="19">
      <pivotArea field="0" type="button" dataOnly="0" labelOnly="1" outline="0" fieldPosition="0"/>
    </format>
    <format dxfId="20">
      <pivotArea field="1" type="button" dataOnly="0" labelOnly="1" outline="0" fieldPosition="0"/>
    </format>
    <format dxfId="21">
      <pivotArea dataOnly="0" labelOnly="1" fieldPosition="0">
        <references count="1">
          <reference field="0" count="1">
            <x v="0"/>
          </reference>
        </references>
      </pivotArea>
    </format>
    <format dxfId="22">
      <pivotArea dataOnly="0" labelOnly="1" fieldPosition="0">
        <references count="1">
          <reference field="0" count="1">
            <x v="1"/>
          </reference>
        </references>
      </pivotArea>
    </format>
    <format dxfId="23">
      <pivotArea dataOnly="0" labelOnly="1" fieldPosition="0">
        <references count="1">
          <reference field="0" count="1">
            <x v="2"/>
          </reference>
        </references>
      </pivotArea>
    </format>
    <format dxfId="24">
      <pivotArea type="origin" dataOnly="0" labelOnly="1" outline="0" fieldPosition="0"/>
    </format>
    <format dxfId="25">
      <pivotArea field="0" type="button" dataOnly="0" labelOnly="1" outline="0" fieldPosition="0"/>
    </format>
    <format dxfId="26">
      <pivotArea field="1" type="button" dataOnly="0" labelOnly="1" outline="0" fieldPosition="0"/>
    </format>
    <format dxfId="27">
      <pivotArea dataOnly="0" labelOnly="1" fieldPosition="0">
        <references count="1">
          <reference field="0" count="1">
            <x v="0"/>
          </reference>
        </references>
      </pivotArea>
    </format>
    <format dxfId="28">
      <pivotArea dataOnly="0" labelOnly="1" fieldPosition="0">
        <references count="1">
          <reference field="0" count="1">
            <x v="1"/>
          </reference>
        </references>
      </pivotArea>
    </format>
    <format dxfId="29">
      <pivotArea dataOnly="0" labelOnly="1" fieldPosition="0">
        <references count="1">
          <reference field="0" count="1">
            <x v="2"/>
          </reference>
        </references>
      </pivotArea>
    </format>
    <format dxfId="30">
      <pivotArea type="origin" dataOnly="0" labelOnly="1" outline="0" fieldPosition="0"/>
    </format>
    <format dxfId="31">
      <pivotArea field="0" type="button" dataOnly="0" labelOnly="1" outline="0" fieldPosition="0"/>
    </format>
    <format dxfId="32">
      <pivotArea field="1" type="button" dataOnly="0" labelOnly="1" outline="0" fieldPosition="0"/>
    </format>
    <format dxfId="33">
      <pivotArea dataOnly="0" labelOnly="1" fieldPosition="0">
        <references count="1">
          <reference field="0" count="1">
            <x v="0"/>
          </reference>
        </references>
      </pivotArea>
    </format>
    <format dxfId="34">
      <pivotArea dataOnly="0" labelOnly="1" fieldPosition="0">
        <references count="1">
          <reference field="0" count="1">
            <x v="1"/>
          </reference>
        </references>
      </pivotArea>
    </format>
    <format dxfId="35">
      <pivotArea dataOnly="0" labelOnly="1" fieldPosition="0">
        <references count="1">
          <reference field="0" count="1">
            <x v="2"/>
          </reference>
        </references>
      </pivotArea>
    </format>
    <format dxfId="36">
      <pivotArea type="origin" dataOnly="0" labelOnly="1" outline="0" fieldPosition="0"/>
    </format>
    <format dxfId="37">
      <pivotArea field="0" type="button" dataOnly="0" labelOnly="1" outline="0" fieldPosition="0"/>
    </format>
    <format dxfId="38">
      <pivotArea field="1" type="button" dataOnly="0" labelOnly="1" outline="0" fieldPosition="0"/>
    </format>
    <format dxfId="39">
      <pivotArea dataOnly="0" labelOnly="1" fieldPosition="0">
        <references count="1">
          <reference field="0" count="1">
            <x v="0"/>
          </reference>
        </references>
      </pivotArea>
    </format>
    <format dxfId="40">
      <pivotArea dataOnly="0" labelOnly="1" fieldPosition="0">
        <references count="1">
          <reference field="0" count="1">
            <x v="1"/>
          </reference>
        </references>
      </pivotArea>
    </format>
    <format dxfId="41">
      <pivotArea dataOnly="0" labelOnly="1" fieldPosition="0">
        <references count="1">
          <reference field="0" count="1">
            <x v="2"/>
          </reference>
        </references>
      </pivotArea>
    </format>
    <format dxfId="42">
      <pivotArea type="origin" dataOnly="0" labelOnly="1" outline="0" fieldPosition="0"/>
    </format>
    <format dxfId="43">
      <pivotArea field="0" type="button" dataOnly="0" labelOnly="1" outline="0" fieldPosition="0"/>
    </format>
    <format dxfId="44">
      <pivotArea field="1" type="button" dataOnly="0" labelOnly="1" outline="0" fieldPosition="0"/>
    </format>
    <format dxfId="45">
      <pivotArea dataOnly="0" labelOnly="1" fieldPosition="0">
        <references count="1">
          <reference field="0" count="1">
            <x v="0"/>
          </reference>
        </references>
      </pivotArea>
    </format>
    <format dxfId="46">
      <pivotArea dataOnly="0" labelOnly="1" fieldPosition="0">
        <references count="1">
          <reference field="0" count="1">
            <x v="1"/>
          </reference>
        </references>
      </pivotArea>
    </format>
    <format dxfId="47">
      <pivotArea dataOnly="0" labelOnly="1" fieldPosition="0">
        <references count="1">
          <reference field="0" count="1">
            <x v="2"/>
          </reference>
        </references>
      </pivotArea>
    </format>
    <format dxfId="48">
      <pivotArea collapsedLevelsAreSubtotals="1" fieldPosition="0"/>
    </format>
    <format dxfId="49">
      <pivotArea collapsedLevelsAreSubtotals="1" fieldPosition="0"/>
    </format>
    <format dxfId="50">
      <pivotArea type="all" dataOnly="0" outline="0" fieldPosition="0"/>
    </format>
    <format dxfId="51">
      <pivotArea type="all" dataOnly="0" outline="0" fieldPosition="0"/>
    </format>
    <format dxfId="52">
      <pivotArea dataOnly="0" labelOnly="1" fieldPosition="0">
        <references count="1">
          <reference field="1" count="1">
            <x v="1"/>
          </reference>
        </references>
      </pivotArea>
    </format>
    <format dxfId="53">
      <pivotArea dataOnly="0" labelOnly="1" fieldPosition="0">
        <references count="1">
          <reference field="1" count="1">
            <x v="2"/>
          </reference>
        </references>
      </pivotArea>
    </format>
    <format dxfId="54">
      <pivotArea dataOnly="0" labelOnly="1" fieldPosition="0">
        <references count="1">
          <reference field="1" count="1">
            <x v="3"/>
          </reference>
        </references>
      </pivotArea>
    </format>
    <format dxfId="55">
      <pivotArea dataOnly="0" labelOnly="1" fieldPosition="0">
        <references count="1">
          <reference field="1" count="1">
            <x v="4"/>
          </reference>
        </references>
      </pivotArea>
    </format>
    <format dxfId="56">
      <pivotArea dataOnly="0" labelOnly="1" fieldPosition="0">
        <references count="1">
          <reference field="1" count="1">
            <x v="5"/>
          </reference>
        </references>
      </pivotArea>
    </format>
    <format dxfId="57">
      <pivotArea dataOnly="0" labelOnly="1" fieldPosition="0">
        <references count="1">
          <reference field="1" count="1">
            <x v="6"/>
          </reference>
        </references>
      </pivotArea>
    </format>
    <format dxfId="58">
      <pivotArea dataOnly="0" labelOnly="1" fieldPosition="0">
        <references count="1">
          <reference field="1" count="1">
            <x v="7"/>
          </reference>
        </references>
      </pivotArea>
    </format>
    <format dxfId="59">
      <pivotArea dataOnly="0" labelOnly="1" fieldPosition="0">
        <references count="1">
          <reference field="1" count="1">
            <x v="8"/>
          </reference>
        </references>
      </pivotArea>
    </format>
    <format dxfId="60">
      <pivotArea dataOnly="0" labelOnly="1" fieldPosition="0">
        <references count="1">
          <reference field="1" count="1">
            <x v="9"/>
          </reference>
        </references>
      </pivotArea>
    </format>
    <format dxfId="61">
      <pivotArea dataOnly="0" labelOnly="1" fieldPosition="0">
        <references count="1">
          <reference field="1" count="1">
            <x v="10"/>
          </reference>
        </references>
      </pivotArea>
    </format>
    <format dxfId="62">
      <pivotArea dataOnly="0" labelOnly="1" fieldPosition="0">
        <references count="1">
          <reference field="1" count="1">
            <x v="11"/>
          </reference>
        </references>
      </pivotArea>
    </format>
    <format dxfId="63">
      <pivotArea dataOnly="0" labelOnly="1" fieldPosition="0">
        <references count="1">
          <reference field="1" count="1">
            <x v="12"/>
          </reference>
        </references>
      </pivotArea>
    </format>
    <format dxfId="64">
      <pivotArea dataOnly="0" labelOnly="1" fieldPosition="0">
        <references count="1">
          <reference field="1" count="1">
            <x v="13"/>
          </reference>
        </references>
      </pivotArea>
    </format>
    <format dxfId="65">
      <pivotArea dataOnly="0" labelOnly="1" fieldPosition="0">
        <references count="1">
          <reference field="1" count="1">
            <x v="14"/>
          </reference>
        </references>
      </pivotArea>
    </format>
    <format dxfId="66">
      <pivotArea dataOnly="0" labelOnly="1" fieldPosition="0">
        <references count="1">
          <reference field="1" count="1">
            <x v="15"/>
          </reference>
        </references>
      </pivotArea>
    </format>
    <format dxfId="67">
      <pivotArea dataOnly="0" labelOnly="1" fieldPosition="0">
        <references count="1">
          <reference field="1" count="1">
            <x v="16"/>
          </reference>
        </references>
      </pivotArea>
    </format>
    <format dxfId="68">
      <pivotArea dataOnly="0" labelOnly="1" fieldPosition="0">
        <references count="1">
          <reference field="1" count="1">
            <x v="17"/>
          </reference>
        </references>
      </pivotArea>
    </format>
    <format dxfId="69">
      <pivotArea dataOnly="0" labelOnly="1" fieldPosition="0">
        <references count="1">
          <reference field="1" count="1">
            <x v="18"/>
          </reference>
        </references>
      </pivotArea>
    </format>
    <format dxfId="70">
      <pivotArea dataOnly="0" labelOnly="1" fieldPosition="0">
        <references count="1">
          <reference field="1" count="1">
            <x v="19"/>
          </reference>
        </references>
      </pivotArea>
    </format>
    <format dxfId="71">
      <pivotArea dataOnly="0" labelOnly="1" fieldPosition="0">
        <references count="1">
          <reference field="1" count="1">
            <x v="20"/>
          </reference>
        </references>
      </pivotArea>
    </format>
    <format dxfId="72">
      <pivotArea dataOnly="0" labelOnly="1" fieldPosition="0">
        <references count="1">
          <reference field="1" count="1">
            <x v="21"/>
          </reference>
        </references>
      </pivotArea>
    </format>
    <format dxfId="73">
      <pivotArea dataOnly="0" labelOnly="1" fieldPosition="0">
        <references count="1">
          <reference field="1" count="1">
            <x v="22"/>
          </reference>
        </references>
      </pivotArea>
    </format>
    <format dxfId="74">
      <pivotArea dataOnly="0" labelOnly="1" fieldPosition="0">
        <references count="1">
          <reference field="1" count="1">
            <x v="23"/>
          </reference>
        </references>
      </pivotArea>
    </format>
    <format dxfId="75">
      <pivotArea dataOnly="0" labelOnly="1" fieldPosition="0">
        <references count="1">
          <reference field="1" count="1">
            <x v="24"/>
          </reference>
        </references>
      </pivotArea>
    </format>
    <format dxfId="76">
      <pivotArea dataOnly="0" labelOnly="1" fieldPosition="0">
        <references count="1">
          <reference field="1" count="1">
            <x v="25"/>
          </reference>
        </references>
      </pivotArea>
    </format>
    <format dxfId="77">
      <pivotArea dataOnly="0" labelOnly="1" fieldPosition="0">
        <references count="1">
          <reference field="1" count="1">
            <x v="26"/>
          </reference>
        </references>
      </pivotArea>
    </format>
    <format dxfId="78">
      <pivotArea dataOnly="0" labelOnly="1" fieldPosition="0">
        <references count="1">
          <reference field="1" count="1">
            <x v="27"/>
          </reference>
        </references>
      </pivotArea>
    </format>
    <format dxfId="79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2"/>
          </reference>
        </references>
      </pivotArea>
    </format>
    <format dxfId="81">
      <pivotArea dataOnly="0" labelOnly="1" fieldPosition="0">
        <references count="1">
          <reference field="1" count="1">
            <x v="3"/>
          </reference>
        </references>
      </pivotArea>
    </format>
    <format dxfId="82">
      <pivotArea dataOnly="0" labelOnly="1" fieldPosition="0">
        <references count="1">
          <reference field="1" count="1">
            <x v="4"/>
          </reference>
        </references>
      </pivotArea>
    </format>
    <format dxfId="83">
      <pivotArea dataOnly="0" labelOnly="1" fieldPosition="0">
        <references count="1">
          <reference field="1" count="1">
            <x v="5"/>
          </reference>
        </references>
      </pivotArea>
    </format>
    <format dxfId="84">
      <pivotArea dataOnly="0" labelOnly="1" fieldPosition="0">
        <references count="1">
          <reference field="1" count="1">
            <x v="6"/>
          </reference>
        </references>
      </pivotArea>
    </format>
    <format dxfId="85">
      <pivotArea dataOnly="0" labelOnly="1" fieldPosition="0">
        <references count="1">
          <reference field="1" count="1">
            <x v="7"/>
          </reference>
        </references>
      </pivotArea>
    </format>
    <format dxfId="86">
      <pivotArea dataOnly="0" labelOnly="1" fieldPosition="0">
        <references count="1">
          <reference field="1" count="1">
            <x v="8"/>
          </reference>
        </references>
      </pivotArea>
    </format>
    <format dxfId="87">
      <pivotArea dataOnly="0" labelOnly="1" fieldPosition="0">
        <references count="1">
          <reference field="1" count="1">
            <x v="9"/>
          </reference>
        </references>
      </pivotArea>
    </format>
    <format dxfId="88">
      <pivotArea dataOnly="0" labelOnly="1" fieldPosition="0">
        <references count="1">
          <reference field="1" count="1">
            <x v="10"/>
          </reference>
        </references>
      </pivotArea>
    </format>
    <format dxfId="89">
      <pivotArea dataOnly="0" labelOnly="1" fieldPosition="0">
        <references count="1">
          <reference field="1" count="1">
            <x v="11"/>
          </reference>
        </references>
      </pivotArea>
    </format>
    <format dxfId="90">
      <pivotArea dataOnly="0" labelOnly="1" fieldPosition="0">
        <references count="1">
          <reference field="1" count="1">
            <x v="12"/>
          </reference>
        </references>
      </pivotArea>
    </format>
    <format dxfId="91">
      <pivotArea dataOnly="0" labelOnly="1" fieldPosition="0">
        <references count="1">
          <reference field="1" count="1">
            <x v="13"/>
          </reference>
        </references>
      </pivotArea>
    </format>
    <format dxfId="92">
      <pivotArea dataOnly="0" labelOnly="1" fieldPosition="0">
        <references count="1">
          <reference field="1" count="1">
            <x v="14"/>
          </reference>
        </references>
      </pivotArea>
    </format>
    <format dxfId="93">
      <pivotArea dataOnly="0" labelOnly="1" fieldPosition="0">
        <references count="1">
          <reference field="1" count="1">
            <x v="15"/>
          </reference>
        </references>
      </pivotArea>
    </format>
    <format dxfId="94">
      <pivotArea dataOnly="0" labelOnly="1" fieldPosition="0">
        <references count="1">
          <reference field="1" count="1">
            <x v="16"/>
          </reference>
        </references>
      </pivotArea>
    </format>
    <format dxfId="95">
      <pivotArea dataOnly="0" labelOnly="1" fieldPosition="0">
        <references count="1">
          <reference field="1" count="1">
            <x v="17"/>
          </reference>
        </references>
      </pivotArea>
    </format>
    <format dxfId="96">
      <pivotArea dataOnly="0" labelOnly="1" fieldPosition="0">
        <references count="1">
          <reference field="1" count="1">
            <x v="18"/>
          </reference>
        </references>
      </pivotArea>
    </format>
    <format dxfId="97">
      <pivotArea dataOnly="0" labelOnly="1" fieldPosition="0">
        <references count="1">
          <reference field="1" count="1">
            <x v="19"/>
          </reference>
        </references>
      </pivotArea>
    </format>
    <format dxfId="98">
      <pivotArea dataOnly="0" labelOnly="1" fieldPosition="0">
        <references count="1">
          <reference field="1" count="1">
            <x v="20"/>
          </reference>
        </references>
      </pivotArea>
    </format>
    <format dxfId="99">
      <pivotArea dataOnly="0" labelOnly="1" fieldPosition="0">
        <references count="1">
          <reference field="1" count="1">
            <x v="21"/>
          </reference>
        </references>
      </pivotArea>
    </format>
    <format dxfId="100">
      <pivotArea dataOnly="0" labelOnly="1" fieldPosition="0">
        <references count="1">
          <reference field="1" count="1">
            <x v="22"/>
          </reference>
        </references>
      </pivotArea>
    </format>
    <format dxfId="101">
      <pivotArea dataOnly="0" labelOnly="1" fieldPosition="0">
        <references count="1">
          <reference field="1" count="1">
            <x v="23"/>
          </reference>
        </references>
      </pivotArea>
    </format>
    <format dxfId="102">
      <pivotArea dataOnly="0" labelOnly="1" fieldPosition="0">
        <references count="1">
          <reference field="1" count="1">
            <x v="24"/>
          </reference>
        </references>
      </pivotArea>
    </format>
    <format dxfId="103">
      <pivotArea dataOnly="0" labelOnly="1" fieldPosition="0">
        <references count="1">
          <reference field="1" count="1">
            <x v="25"/>
          </reference>
        </references>
      </pivotArea>
    </format>
    <format dxfId="104">
      <pivotArea dataOnly="0" labelOnly="1" fieldPosition="0">
        <references count="1">
          <reference field="1" count="1">
            <x v="26"/>
          </reference>
        </references>
      </pivotArea>
    </format>
    <format dxfId="105">
      <pivotArea dataOnly="0" labelOnly="1" fieldPosition="0">
        <references count="1">
          <reference field="1" count="1">
            <x v="27"/>
          </reference>
        </references>
      </pivotArea>
    </format>
    <format dxfId="106">
      <pivotArea dataOnly="0" labelOnly="1" fieldPosition="0">
        <references count="1">
          <reference field="1" count="1">
            <x v="1"/>
          </reference>
        </references>
      </pivotArea>
    </format>
    <format dxfId="107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4"/>
          </reference>
        </references>
      </pivotArea>
    </format>
    <format dxfId="110">
      <pivotArea dataOnly="0" labelOnly="1" fieldPosition="0">
        <references count="1">
          <reference field="1" count="1">
            <x v="5"/>
          </reference>
        </references>
      </pivotArea>
    </format>
    <format dxfId="111">
      <pivotArea dataOnly="0" labelOnly="1" fieldPosition="0">
        <references count="1">
          <reference field="1" count="1">
            <x v="6"/>
          </reference>
        </references>
      </pivotArea>
    </format>
    <format dxfId="112">
      <pivotArea dataOnly="0" labelOnly="1" fieldPosition="0">
        <references count="1">
          <reference field="1" count="1">
            <x v="7"/>
          </reference>
        </references>
      </pivotArea>
    </format>
    <format dxfId="113">
      <pivotArea dataOnly="0" labelOnly="1" fieldPosition="0">
        <references count="1">
          <reference field="1" count="1">
            <x v="8"/>
          </reference>
        </references>
      </pivotArea>
    </format>
    <format dxfId="114">
      <pivotArea dataOnly="0" labelOnly="1" fieldPosition="0">
        <references count="1">
          <reference field="1" count="1">
            <x v="9"/>
          </reference>
        </references>
      </pivotArea>
    </format>
    <format dxfId="115">
      <pivotArea dataOnly="0" labelOnly="1" fieldPosition="0">
        <references count="1">
          <reference field="1" count="1">
            <x v="10"/>
          </reference>
        </references>
      </pivotArea>
    </format>
    <format dxfId="116">
      <pivotArea dataOnly="0" labelOnly="1" fieldPosition="0">
        <references count="1">
          <reference field="1" count="1">
            <x v="11"/>
          </reference>
        </references>
      </pivotArea>
    </format>
    <format dxfId="117">
      <pivotArea dataOnly="0" labelOnly="1" fieldPosition="0">
        <references count="1">
          <reference field="1" count="1">
            <x v="12"/>
          </reference>
        </references>
      </pivotArea>
    </format>
    <format dxfId="118">
      <pivotArea dataOnly="0" labelOnly="1" fieldPosition="0">
        <references count="1">
          <reference field="1" count="1">
            <x v="13"/>
          </reference>
        </references>
      </pivotArea>
    </format>
    <format dxfId="119">
      <pivotArea dataOnly="0" labelOnly="1" fieldPosition="0">
        <references count="1">
          <reference field="1" count="1">
            <x v="14"/>
          </reference>
        </references>
      </pivotArea>
    </format>
    <format dxfId="120">
      <pivotArea dataOnly="0" labelOnly="1" fieldPosition="0">
        <references count="1">
          <reference field="1" count="1">
            <x v="15"/>
          </reference>
        </references>
      </pivotArea>
    </format>
    <format dxfId="121">
      <pivotArea dataOnly="0" labelOnly="1" fieldPosition="0">
        <references count="1">
          <reference field="1" count="1">
            <x v="16"/>
          </reference>
        </references>
      </pivotArea>
    </format>
    <format dxfId="122">
      <pivotArea dataOnly="0" labelOnly="1" fieldPosition="0">
        <references count="1">
          <reference field="1" count="1">
            <x v="17"/>
          </reference>
        </references>
      </pivotArea>
    </format>
    <format dxfId="123">
      <pivotArea dataOnly="0" labelOnly="1" fieldPosition="0">
        <references count="1">
          <reference field="1" count="1">
            <x v="18"/>
          </reference>
        </references>
      </pivotArea>
    </format>
    <format dxfId="124">
      <pivotArea dataOnly="0" labelOnly="1" fieldPosition="0">
        <references count="1">
          <reference field="1" count="1">
            <x v="19"/>
          </reference>
        </references>
      </pivotArea>
    </format>
    <format dxfId="125">
      <pivotArea dataOnly="0" labelOnly="1" fieldPosition="0">
        <references count="1">
          <reference field="1" count="1">
            <x v="20"/>
          </reference>
        </references>
      </pivotArea>
    </format>
    <format dxfId="126">
      <pivotArea dataOnly="0" labelOnly="1" fieldPosition="0">
        <references count="1">
          <reference field="1" count="1">
            <x v="21"/>
          </reference>
        </references>
      </pivotArea>
    </format>
    <format dxfId="127">
      <pivotArea dataOnly="0" labelOnly="1" fieldPosition="0">
        <references count="1">
          <reference field="1" count="1">
            <x v="22"/>
          </reference>
        </references>
      </pivotArea>
    </format>
    <format dxfId="128">
      <pivotArea dataOnly="0" labelOnly="1" fieldPosition="0">
        <references count="1">
          <reference field="1" count="1">
            <x v="23"/>
          </reference>
        </references>
      </pivotArea>
    </format>
    <format dxfId="129">
      <pivotArea dataOnly="0" labelOnly="1" fieldPosition="0">
        <references count="1">
          <reference field="1" count="1">
            <x v="24"/>
          </reference>
        </references>
      </pivotArea>
    </format>
    <format dxfId="130">
      <pivotArea dataOnly="0" labelOnly="1" fieldPosition="0">
        <references count="1">
          <reference field="1" count="1">
            <x v="25"/>
          </reference>
        </references>
      </pivotArea>
    </format>
    <format dxfId="131">
      <pivotArea dataOnly="0" labelOnly="1" fieldPosition="0">
        <references count="1">
          <reference field="1" count="1">
            <x v="26"/>
          </reference>
        </references>
      </pivotArea>
    </format>
    <format dxfId="132">
      <pivotArea dataOnly="0" labelOnly="1" fieldPosition="0">
        <references count="1">
          <reference field="1" count="1">
            <x v="27"/>
          </reference>
        </references>
      </pivotArea>
    </format>
    <format dxfId="133">
      <pivotArea dataOnly="0" labelOnly="1" fieldPosition="0">
        <references count="1">
          <reference field="1" count="1">
            <x v="1"/>
          </reference>
        </references>
      </pivotArea>
    </format>
    <format dxfId="134">
      <pivotArea dataOnly="0" labelOnly="1" fieldPosition="0">
        <references count="1">
          <reference field="1" count="1">
            <x v="2"/>
          </reference>
        </references>
      </pivotArea>
    </format>
    <format dxfId="135">
      <pivotArea dataOnly="0" labelOnly="1" fieldPosition="0">
        <references count="1">
          <reference field="1" count="1">
            <x v="3"/>
          </reference>
        </references>
      </pivotArea>
    </format>
    <format dxfId="136">
      <pivotArea dataOnly="0" labelOnly="1" fieldPosition="0">
        <references count="1">
          <reference field="1" count="1">
            <x v="4"/>
          </reference>
        </references>
      </pivotArea>
    </format>
    <format dxfId="137">
      <pivotArea dataOnly="0" labelOnly="1" fieldPosition="0">
        <references count="1">
          <reference field="1" count="1">
            <x v="5"/>
          </reference>
        </references>
      </pivotArea>
    </format>
    <format dxfId="138">
      <pivotArea dataOnly="0" labelOnly="1" fieldPosition="0">
        <references count="1">
          <reference field="1" count="1">
            <x v="6"/>
          </reference>
        </references>
      </pivotArea>
    </format>
    <format dxfId="139">
      <pivotArea dataOnly="0" labelOnly="1" fieldPosition="0">
        <references count="1">
          <reference field="1" count="1">
            <x v="7"/>
          </reference>
        </references>
      </pivotArea>
    </format>
    <format dxfId="140">
      <pivotArea dataOnly="0" labelOnly="1" fieldPosition="0">
        <references count="1">
          <reference field="1" count="1">
            <x v="8"/>
          </reference>
        </references>
      </pivotArea>
    </format>
    <format dxfId="141">
      <pivotArea dataOnly="0" labelOnly="1" fieldPosition="0">
        <references count="1">
          <reference field="1" count="1">
            <x v="9"/>
          </reference>
        </references>
      </pivotArea>
    </format>
    <format dxfId="142">
      <pivotArea dataOnly="0" labelOnly="1" fieldPosition="0">
        <references count="1">
          <reference field="1" count="1">
            <x v="10"/>
          </reference>
        </references>
      </pivotArea>
    </format>
    <format dxfId="143">
      <pivotArea dataOnly="0" labelOnly="1" fieldPosition="0">
        <references count="1">
          <reference field="1" count="1">
            <x v="11"/>
          </reference>
        </references>
      </pivotArea>
    </format>
    <format dxfId="144">
      <pivotArea dataOnly="0" labelOnly="1" fieldPosition="0">
        <references count="1">
          <reference field="1" count="1">
            <x v="12"/>
          </reference>
        </references>
      </pivotArea>
    </format>
    <format dxfId="145">
      <pivotArea dataOnly="0" labelOnly="1" fieldPosition="0">
        <references count="1">
          <reference field="1" count="1">
            <x v="13"/>
          </reference>
        </references>
      </pivotArea>
    </format>
    <format dxfId="146">
      <pivotArea dataOnly="0" labelOnly="1" fieldPosition="0">
        <references count="1">
          <reference field="1" count="1">
            <x v="14"/>
          </reference>
        </references>
      </pivotArea>
    </format>
    <format dxfId="147">
      <pivotArea dataOnly="0" labelOnly="1" fieldPosition="0">
        <references count="1">
          <reference field="1" count="1">
            <x v="15"/>
          </reference>
        </references>
      </pivotArea>
    </format>
    <format dxfId="148">
      <pivotArea dataOnly="0" labelOnly="1" fieldPosition="0">
        <references count="1">
          <reference field="1" count="1">
            <x v="16"/>
          </reference>
        </references>
      </pivotArea>
    </format>
    <format dxfId="149">
      <pivotArea dataOnly="0" labelOnly="1" fieldPosition="0">
        <references count="1">
          <reference field="1" count="1">
            <x v="17"/>
          </reference>
        </references>
      </pivotArea>
    </format>
    <format dxfId="150">
      <pivotArea dataOnly="0" labelOnly="1" fieldPosition="0">
        <references count="1">
          <reference field="1" count="1">
            <x v="18"/>
          </reference>
        </references>
      </pivotArea>
    </format>
    <format dxfId="151">
      <pivotArea dataOnly="0" labelOnly="1" fieldPosition="0">
        <references count="1">
          <reference field="1" count="1">
            <x v="19"/>
          </reference>
        </references>
      </pivotArea>
    </format>
    <format dxfId="152">
      <pivotArea dataOnly="0" labelOnly="1" fieldPosition="0">
        <references count="1">
          <reference field="1" count="1">
            <x v="20"/>
          </reference>
        </references>
      </pivotArea>
    </format>
    <format dxfId="153">
      <pivotArea dataOnly="0" labelOnly="1" fieldPosition="0">
        <references count="1">
          <reference field="1" count="1">
            <x v="21"/>
          </reference>
        </references>
      </pivotArea>
    </format>
    <format dxfId="154">
      <pivotArea dataOnly="0" labelOnly="1" fieldPosition="0">
        <references count="1">
          <reference field="1" count="1">
            <x v="22"/>
          </reference>
        </references>
      </pivotArea>
    </format>
    <format dxfId="155">
      <pivotArea dataOnly="0" labelOnly="1" fieldPosition="0">
        <references count="1">
          <reference field="1" count="1">
            <x v="23"/>
          </reference>
        </references>
      </pivotArea>
    </format>
    <format dxfId="156">
      <pivotArea dataOnly="0" labelOnly="1" fieldPosition="0">
        <references count="1">
          <reference field="1" count="1">
            <x v="24"/>
          </reference>
        </references>
      </pivotArea>
    </format>
    <format dxfId="157">
      <pivotArea dataOnly="0" labelOnly="1" fieldPosition="0">
        <references count="1">
          <reference field="1" count="1">
            <x v="25"/>
          </reference>
        </references>
      </pivotArea>
    </format>
    <format dxfId="158">
      <pivotArea dataOnly="0" labelOnly="1" fieldPosition="0">
        <references count="1">
          <reference field="1" count="1">
            <x v="26"/>
          </reference>
        </references>
      </pivotArea>
    </format>
    <format dxfId="159">
      <pivotArea dataOnly="0" labelOnly="1" fieldPosition="0">
        <references count="1">
          <reference field="1" count="1">
            <x v="27"/>
          </reference>
        </references>
      </pivotArea>
    </format>
    <format dxfId="160">
      <pivotArea field="2" type="button" dataOnly="0" labelOnly="1" outline="0" fieldPosition="0"/>
    </format>
    <format dxfId="161">
      <pivotArea dataOnly="0" labelOnly="1" fieldPosition="0">
        <references count="1">
          <reference field="2" count="0" defaultSubtotal="1"/>
        </references>
      </pivotArea>
    </format>
    <format dxfId="162">
      <pivotArea dataOnly="0" labelOnly="1" offset="B256:B256" fieldPosition="0">
        <references count="1">
          <reference field="2" count="1">
            <x v="0"/>
          </reference>
        </references>
      </pivotArea>
    </format>
    <format dxfId="163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164">
      <pivotArea dataOnly="0" labelOnly="1" offset="B256:B256" fieldPosition="0">
        <references count="1">
          <reference field="2" count="1">
            <x v="1"/>
          </reference>
        </references>
      </pivotArea>
    </format>
    <format dxfId="165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66">
      <pivotArea dataOnly="0" labelOnly="1" fieldPosition="0">
        <references count="2">
          <reference field="1" count="1">
            <x v="2"/>
          </reference>
          <reference field="2" count="1" selected="0">
            <x v="1"/>
          </reference>
        </references>
      </pivotArea>
    </format>
    <format dxfId="167">
      <pivotArea dataOnly="0" labelOnly="1" fieldPosition="0">
        <references count="2">
          <reference field="1" count="1">
            <x v="3"/>
          </reference>
          <reference field="2" count="1" selected="0">
            <x v="1"/>
          </reference>
        </references>
      </pivotArea>
    </format>
    <format dxfId="168">
      <pivotArea dataOnly="0" labelOnly="1" fieldPosition="0">
        <references count="2">
          <reference field="1" count="1">
            <x v="4"/>
          </reference>
          <reference field="2" count="1" selected="0">
            <x v="1"/>
          </reference>
        </references>
      </pivotArea>
    </format>
    <format dxfId="169">
      <pivotArea dataOnly="0" labelOnly="1" fieldPosition="0">
        <references count="2">
          <reference field="1" count="1">
            <x v="5"/>
          </reference>
          <reference field="2" count="1" selected="0">
            <x v="1"/>
          </reference>
        </references>
      </pivotArea>
    </format>
    <format dxfId="170">
      <pivotArea dataOnly="0" labelOnly="1" fieldPosition="0">
        <references count="2">
          <reference field="1" count="1">
            <x v="6"/>
          </reference>
          <reference field="2" count="1" selected="0">
            <x v="1"/>
          </reference>
        </references>
      </pivotArea>
    </format>
    <format dxfId="171">
      <pivotArea dataOnly="0" labelOnly="1" fieldPosition="0">
        <references count="2">
          <reference field="1" count="1">
            <x v="7"/>
          </reference>
          <reference field="2" count="1" selected="0">
            <x v="1"/>
          </reference>
        </references>
      </pivotArea>
    </format>
    <format dxfId="172">
      <pivotArea dataOnly="0" labelOnly="1" fieldPosition="0">
        <references count="2">
          <reference field="1" count="1">
            <x v="8"/>
          </reference>
          <reference field="2" count="1" selected="0">
            <x v="1"/>
          </reference>
        </references>
      </pivotArea>
    </format>
    <format dxfId="173">
      <pivotArea dataOnly="0" labelOnly="1" fieldPosition="0">
        <references count="2">
          <reference field="1" count="1">
            <x v="9"/>
          </reference>
          <reference field="2" count="1" selected="0">
            <x v="1"/>
          </reference>
        </references>
      </pivotArea>
    </format>
    <format dxfId="174">
      <pivotArea dataOnly="0" labelOnly="1" fieldPosition="0">
        <references count="2">
          <reference field="1" count="1">
            <x v="10"/>
          </reference>
          <reference field="2" count="1" selected="0">
            <x v="1"/>
          </reference>
        </references>
      </pivotArea>
    </format>
    <format dxfId="175">
      <pivotArea dataOnly="0" labelOnly="1" fieldPosition="0">
        <references count="2">
          <reference field="1" count="1">
            <x v="11"/>
          </reference>
          <reference field="2" count="1" selected="0">
            <x v="1"/>
          </reference>
        </references>
      </pivotArea>
    </format>
    <format dxfId="176">
      <pivotArea dataOnly="0" labelOnly="1" fieldPosition="0">
        <references count="2">
          <reference field="1" count="1">
            <x v="12"/>
          </reference>
          <reference field="2" count="1" selected="0">
            <x v="1"/>
          </reference>
        </references>
      </pivotArea>
    </format>
    <format dxfId="177">
      <pivotArea dataOnly="0" labelOnly="1" fieldPosition="0">
        <references count="2">
          <reference field="1" count="1">
            <x v="13"/>
          </reference>
          <reference field="2" count="1" selected="0">
            <x v="1"/>
          </reference>
        </references>
      </pivotArea>
    </format>
    <format dxfId="178">
      <pivotArea dataOnly="0" labelOnly="1" fieldPosition="0">
        <references count="2">
          <reference field="1" count="1">
            <x v="14"/>
          </reference>
          <reference field="2" count="1" selected="0">
            <x v="1"/>
          </reference>
        </references>
      </pivotArea>
    </format>
    <format dxfId="179">
      <pivotArea dataOnly="0" labelOnly="1" fieldPosition="0">
        <references count="2">
          <reference field="1" count="1">
            <x v="15"/>
          </reference>
          <reference field="2" count="1" selected="0">
            <x v="1"/>
          </reference>
        </references>
      </pivotArea>
    </format>
    <format dxfId="180">
      <pivotArea dataOnly="0" labelOnly="1" fieldPosition="0">
        <references count="2">
          <reference field="1" count="1">
            <x v="16"/>
          </reference>
          <reference field="2" count="1" selected="0">
            <x v="1"/>
          </reference>
        </references>
      </pivotArea>
    </format>
    <format dxfId="181">
      <pivotArea dataOnly="0" labelOnly="1" fieldPosition="0">
        <references count="2">
          <reference field="1" count="1">
            <x v="17"/>
          </reference>
          <reference field="2" count="1" selected="0">
            <x v="1"/>
          </reference>
        </references>
      </pivotArea>
    </format>
    <format dxfId="182">
      <pivotArea dataOnly="0" labelOnly="1" fieldPosition="0">
        <references count="2">
          <reference field="1" count="1">
            <x v="18"/>
          </reference>
          <reference field="2" count="1" selected="0">
            <x v="1"/>
          </reference>
        </references>
      </pivotArea>
    </format>
    <format dxfId="183">
      <pivotArea dataOnly="0" labelOnly="1" fieldPosition="0">
        <references count="2">
          <reference field="1" count="1">
            <x v="19"/>
          </reference>
          <reference field="2" count="1" selected="0">
            <x v="1"/>
          </reference>
        </references>
      </pivotArea>
    </format>
    <format dxfId="184">
      <pivotArea dataOnly="0" labelOnly="1" fieldPosition="0">
        <references count="2">
          <reference field="1" count="1">
            <x v="20"/>
          </reference>
          <reference field="2" count="1" selected="0">
            <x v="1"/>
          </reference>
        </references>
      </pivotArea>
    </format>
    <format dxfId="185">
      <pivotArea dataOnly="0" labelOnly="1" fieldPosition="0">
        <references count="2">
          <reference field="1" count="1">
            <x v="21"/>
          </reference>
          <reference field="2" count="1" selected="0">
            <x v="1"/>
          </reference>
        </references>
      </pivotArea>
    </format>
    <format dxfId="186">
      <pivotArea dataOnly="0" labelOnly="1" fieldPosition="0">
        <references count="2">
          <reference field="1" count="1">
            <x v="22"/>
          </reference>
          <reference field="2" count="1" selected="0">
            <x v="1"/>
          </reference>
        </references>
      </pivotArea>
    </format>
    <format dxfId="187">
      <pivotArea dataOnly="0" labelOnly="1" fieldPosition="0">
        <references count="2">
          <reference field="1" count="1">
            <x v="23"/>
          </reference>
          <reference field="2" count="1" selected="0">
            <x v="1"/>
          </reference>
        </references>
      </pivotArea>
    </format>
    <format dxfId="188">
      <pivotArea dataOnly="0" labelOnly="1" fieldPosition="0">
        <references count="2">
          <reference field="1" count="1">
            <x v="24"/>
          </reference>
          <reference field="2" count="1" selected="0">
            <x v="1"/>
          </reference>
        </references>
      </pivotArea>
    </format>
    <format dxfId="189">
      <pivotArea dataOnly="0" labelOnly="1" fieldPosition="0">
        <references count="2">
          <reference field="1" count="1">
            <x v="25"/>
          </reference>
          <reference field="2" count="1" selected="0">
            <x v="1"/>
          </reference>
        </references>
      </pivotArea>
    </format>
    <format dxfId="190">
      <pivotArea dataOnly="0" labelOnly="1" fieldPosition="0">
        <references count="2">
          <reference field="1" count="1">
            <x v="26"/>
          </reference>
          <reference field="2" count="1" selected="0">
            <x v="1"/>
          </reference>
        </references>
      </pivotArea>
    </format>
    <format dxfId="191">
      <pivotArea dataOnly="0" labelOnly="1" fieldPosition="0">
        <references count="2">
          <reference field="1" count="1">
            <x v="27"/>
          </reference>
          <reference field="2" count="1" selected="0">
            <x v="1"/>
          </reference>
        </references>
      </pivotArea>
    </format>
    <format dxfId="192">
      <pivotArea dataOnly="0" labelOnly="1" fieldPosition="0">
        <references count="2">
          <reference field="1" count="1">
            <x v="28"/>
          </reference>
          <reference field="2" count="1" selected="0">
            <x v="1"/>
          </reference>
        </references>
      </pivotArea>
    </format>
    <format dxfId="193">
      <pivotArea dataOnly="0" labelOnly="1" fieldPosition="0">
        <references count="2">
          <reference field="1" count="1">
            <x v="29"/>
          </reference>
          <reference field="2" count="1" selected="0">
            <x v="1"/>
          </reference>
        </references>
      </pivotArea>
    </format>
    <format dxfId="194">
      <pivotArea dataOnly="0" labelOnly="1" fieldPosition="0">
        <references count="2">
          <reference field="1" count="1">
            <x v="30"/>
          </reference>
          <reference field="2" count="1" selected="0">
            <x v="1"/>
          </reference>
        </references>
      </pivotArea>
    </format>
    <format dxfId="195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196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97">
      <pivotArea dataOnly="0" labelOnly="1" fieldPosition="0">
        <references count="2">
          <reference field="1" count="1">
            <x v="2"/>
          </reference>
          <reference field="2" count="1" selected="0">
            <x v="1"/>
          </reference>
        </references>
      </pivotArea>
    </format>
    <format dxfId="198">
      <pivotArea dataOnly="0" labelOnly="1" fieldPosition="0">
        <references count="2">
          <reference field="1" count="1">
            <x v="3"/>
          </reference>
          <reference field="2" count="1" selected="0">
            <x v="1"/>
          </reference>
        </references>
      </pivotArea>
    </format>
    <format dxfId="199">
      <pivotArea dataOnly="0" labelOnly="1" fieldPosition="0">
        <references count="2">
          <reference field="1" count="1">
            <x v="4"/>
          </reference>
          <reference field="2" count="1" selected="0">
            <x v="1"/>
          </reference>
        </references>
      </pivotArea>
    </format>
    <format dxfId="200">
      <pivotArea dataOnly="0" labelOnly="1" fieldPosition="0">
        <references count="2">
          <reference field="1" count="1">
            <x v="5"/>
          </reference>
          <reference field="2" count="1" selected="0">
            <x v="1"/>
          </reference>
        </references>
      </pivotArea>
    </format>
    <format dxfId="201">
      <pivotArea dataOnly="0" labelOnly="1" fieldPosition="0">
        <references count="2">
          <reference field="1" count="1">
            <x v="6"/>
          </reference>
          <reference field="2" count="1" selected="0">
            <x v="1"/>
          </reference>
        </references>
      </pivotArea>
    </format>
    <format dxfId="202">
      <pivotArea dataOnly="0" labelOnly="1" fieldPosition="0">
        <references count="2">
          <reference field="1" count="1">
            <x v="7"/>
          </reference>
          <reference field="2" count="1" selected="0">
            <x v="1"/>
          </reference>
        </references>
      </pivotArea>
    </format>
    <format dxfId="203">
      <pivotArea dataOnly="0" labelOnly="1" fieldPosition="0">
        <references count="2">
          <reference field="1" count="1">
            <x v="8"/>
          </reference>
          <reference field="2" count="1" selected="0">
            <x v="1"/>
          </reference>
        </references>
      </pivotArea>
    </format>
    <format dxfId="204">
      <pivotArea dataOnly="0" labelOnly="1" fieldPosition="0">
        <references count="2">
          <reference field="1" count="1">
            <x v="9"/>
          </reference>
          <reference field="2" count="1" selected="0">
            <x v="1"/>
          </reference>
        </references>
      </pivotArea>
    </format>
    <format dxfId="205">
      <pivotArea dataOnly="0" labelOnly="1" fieldPosition="0">
        <references count="2">
          <reference field="1" count="1">
            <x v="10"/>
          </reference>
          <reference field="2" count="1" selected="0">
            <x v="1"/>
          </reference>
        </references>
      </pivotArea>
    </format>
    <format dxfId="206">
      <pivotArea dataOnly="0" labelOnly="1" fieldPosition="0">
        <references count="2">
          <reference field="1" count="1">
            <x v="11"/>
          </reference>
          <reference field="2" count="1" selected="0">
            <x v="1"/>
          </reference>
        </references>
      </pivotArea>
    </format>
    <format dxfId="207">
      <pivotArea dataOnly="0" labelOnly="1" fieldPosition="0">
        <references count="2">
          <reference field="1" count="1">
            <x v="12"/>
          </reference>
          <reference field="2" count="1" selected="0">
            <x v="1"/>
          </reference>
        </references>
      </pivotArea>
    </format>
    <format dxfId="208">
      <pivotArea dataOnly="0" labelOnly="1" fieldPosition="0">
        <references count="2">
          <reference field="1" count="1">
            <x v="13"/>
          </reference>
          <reference field="2" count="1" selected="0">
            <x v="1"/>
          </reference>
        </references>
      </pivotArea>
    </format>
    <format dxfId="209">
      <pivotArea dataOnly="0" labelOnly="1" fieldPosition="0">
        <references count="2">
          <reference field="1" count="1">
            <x v="14"/>
          </reference>
          <reference field="2" count="1" selected="0">
            <x v="1"/>
          </reference>
        </references>
      </pivotArea>
    </format>
    <format dxfId="210">
      <pivotArea dataOnly="0" labelOnly="1" fieldPosition="0">
        <references count="2">
          <reference field="1" count="1">
            <x v="15"/>
          </reference>
          <reference field="2" count="1" selected="0">
            <x v="1"/>
          </reference>
        </references>
      </pivotArea>
    </format>
    <format dxfId="211">
      <pivotArea dataOnly="0" labelOnly="1" fieldPosition="0">
        <references count="2">
          <reference field="1" count="1">
            <x v="16"/>
          </reference>
          <reference field="2" count="1" selected="0">
            <x v="1"/>
          </reference>
        </references>
      </pivotArea>
    </format>
    <format dxfId="212">
      <pivotArea dataOnly="0" labelOnly="1" fieldPosition="0">
        <references count="2">
          <reference field="1" count="1">
            <x v="17"/>
          </reference>
          <reference field="2" count="1" selected="0">
            <x v="1"/>
          </reference>
        </references>
      </pivotArea>
    </format>
    <format dxfId="213">
      <pivotArea dataOnly="0" labelOnly="1" fieldPosition="0">
        <references count="2">
          <reference field="1" count="1">
            <x v="18"/>
          </reference>
          <reference field="2" count="1" selected="0">
            <x v="1"/>
          </reference>
        </references>
      </pivotArea>
    </format>
    <format dxfId="214">
      <pivotArea dataOnly="0" labelOnly="1" fieldPosition="0">
        <references count="2">
          <reference field="1" count="1">
            <x v="19"/>
          </reference>
          <reference field="2" count="1" selected="0">
            <x v="1"/>
          </reference>
        </references>
      </pivotArea>
    </format>
    <format dxfId="215">
      <pivotArea dataOnly="0" labelOnly="1" fieldPosition="0">
        <references count="2">
          <reference field="1" count="1">
            <x v="20"/>
          </reference>
          <reference field="2" count="1" selected="0">
            <x v="1"/>
          </reference>
        </references>
      </pivotArea>
    </format>
    <format dxfId="216">
      <pivotArea dataOnly="0" labelOnly="1" fieldPosition="0">
        <references count="2">
          <reference field="1" count="1">
            <x v="21"/>
          </reference>
          <reference field="2" count="1" selected="0">
            <x v="1"/>
          </reference>
        </references>
      </pivotArea>
    </format>
    <format dxfId="217">
      <pivotArea dataOnly="0" labelOnly="1" fieldPosition="0">
        <references count="2">
          <reference field="1" count="1">
            <x v="22"/>
          </reference>
          <reference field="2" count="1" selected="0">
            <x v="1"/>
          </reference>
        </references>
      </pivotArea>
    </format>
    <format dxfId="218">
      <pivotArea dataOnly="0" labelOnly="1" fieldPosition="0">
        <references count="2">
          <reference field="1" count="1">
            <x v="23"/>
          </reference>
          <reference field="2" count="1" selected="0">
            <x v="1"/>
          </reference>
        </references>
      </pivotArea>
    </format>
    <format dxfId="219">
      <pivotArea dataOnly="0" labelOnly="1" fieldPosition="0">
        <references count="2">
          <reference field="1" count="1">
            <x v="24"/>
          </reference>
          <reference field="2" count="1" selected="0">
            <x v="1"/>
          </reference>
        </references>
      </pivotArea>
    </format>
    <format dxfId="220">
      <pivotArea dataOnly="0" labelOnly="1" fieldPosition="0">
        <references count="2">
          <reference field="1" count="1">
            <x v="25"/>
          </reference>
          <reference field="2" count="1" selected="0">
            <x v="1"/>
          </reference>
        </references>
      </pivotArea>
    </format>
    <format dxfId="221">
      <pivotArea dataOnly="0" labelOnly="1" fieldPosition="0">
        <references count="2">
          <reference field="1" count="1">
            <x v="26"/>
          </reference>
          <reference field="2" count="1" selected="0">
            <x v="1"/>
          </reference>
        </references>
      </pivotArea>
    </format>
    <format dxfId="222">
      <pivotArea dataOnly="0" labelOnly="1" fieldPosition="0">
        <references count="2">
          <reference field="1" count="1">
            <x v="27"/>
          </reference>
          <reference field="2" count="1" selected="0">
            <x v="1"/>
          </reference>
        </references>
      </pivotArea>
    </format>
    <format dxfId="223">
      <pivotArea dataOnly="0" labelOnly="1" fieldPosition="0">
        <references count="2">
          <reference field="1" count="1">
            <x v="28"/>
          </reference>
          <reference field="2" count="1" selected="0">
            <x v="1"/>
          </reference>
        </references>
      </pivotArea>
    </format>
    <format dxfId="224">
      <pivotArea dataOnly="0" labelOnly="1" fieldPosition="0">
        <references count="2">
          <reference field="1" count="1">
            <x v="29"/>
          </reference>
          <reference field="2" count="1" selected="0">
            <x v="1"/>
          </reference>
        </references>
      </pivotArea>
    </format>
    <format dxfId="225">
      <pivotArea dataOnly="0" labelOnly="1" fieldPosition="0">
        <references count="2">
          <reference field="1" count="1">
            <x v="30"/>
          </reference>
          <reference field="2" count="1" selected="0">
            <x v="1"/>
          </reference>
        </references>
      </pivotArea>
    </format>
    <format dxfId="226">
      <pivotArea field="0" type="button" dataOnly="0" labelOnly="1" outline="0" fieldPosition="0"/>
    </format>
    <format dxfId="227">
      <pivotArea dataOnly="0" labelOnly="1" offset="IV2:IV2" fieldPosition="0">
        <references count="1">
          <reference field="2" count="1">
            <x v="0"/>
          </reference>
        </references>
      </pivotArea>
    </format>
    <format dxfId="228">
      <pivotArea dataOnly="0" labelOnly="1" offset="IV2:IV31" fieldPosition="0">
        <references count="1">
          <reference field="2" count="1">
            <x v="1"/>
          </reference>
        </references>
      </pivotArea>
    </format>
    <format dxfId="229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230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231">
      <pivotArea dataOnly="0" labelOnly="1" fieldPosition="0">
        <references count="2">
          <reference field="1" count="1">
            <x v="2"/>
          </reference>
          <reference field="2" count="1" selected="0">
            <x v="1"/>
          </reference>
        </references>
      </pivotArea>
    </format>
    <format dxfId="232">
      <pivotArea dataOnly="0" labelOnly="1" fieldPosition="0">
        <references count="2">
          <reference field="1" count="1">
            <x v="3"/>
          </reference>
          <reference field="2" count="1" selected="0">
            <x v="1"/>
          </reference>
        </references>
      </pivotArea>
    </format>
    <format dxfId="233">
      <pivotArea dataOnly="0" labelOnly="1" fieldPosition="0">
        <references count="2">
          <reference field="1" count="1">
            <x v="4"/>
          </reference>
          <reference field="2" count="1" selected="0">
            <x v="1"/>
          </reference>
        </references>
      </pivotArea>
    </format>
    <format dxfId="234">
      <pivotArea dataOnly="0" labelOnly="1" fieldPosition="0">
        <references count="2">
          <reference field="1" count="1">
            <x v="5"/>
          </reference>
          <reference field="2" count="1" selected="0">
            <x v="1"/>
          </reference>
        </references>
      </pivotArea>
    </format>
    <format dxfId="235">
      <pivotArea dataOnly="0" labelOnly="1" fieldPosition="0">
        <references count="2">
          <reference field="1" count="1">
            <x v="6"/>
          </reference>
          <reference field="2" count="1" selected="0">
            <x v="1"/>
          </reference>
        </references>
      </pivotArea>
    </format>
    <format dxfId="236">
      <pivotArea dataOnly="0" labelOnly="1" fieldPosition="0">
        <references count="2">
          <reference field="1" count="1">
            <x v="7"/>
          </reference>
          <reference field="2" count="1" selected="0">
            <x v="1"/>
          </reference>
        </references>
      </pivotArea>
    </format>
    <format dxfId="237">
      <pivotArea dataOnly="0" labelOnly="1" fieldPosition="0">
        <references count="2">
          <reference field="1" count="1">
            <x v="8"/>
          </reference>
          <reference field="2" count="1" selected="0">
            <x v="1"/>
          </reference>
        </references>
      </pivotArea>
    </format>
    <format dxfId="238">
      <pivotArea dataOnly="0" labelOnly="1" fieldPosition="0">
        <references count="2">
          <reference field="1" count="1">
            <x v="9"/>
          </reference>
          <reference field="2" count="1" selected="0">
            <x v="1"/>
          </reference>
        </references>
      </pivotArea>
    </format>
    <format dxfId="239">
      <pivotArea dataOnly="0" labelOnly="1" fieldPosition="0">
        <references count="2">
          <reference field="1" count="1">
            <x v="10"/>
          </reference>
          <reference field="2" count="1" selected="0">
            <x v="1"/>
          </reference>
        </references>
      </pivotArea>
    </format>
    <format dxfId="240">
      <pivotArea dataOnly="0" labelOnly="1" fieldPosition="0">
        <references count="2">
          <reference field="1" count="1">
            <x v="11"/>
          </reference>
          <reference field="2" count="1" selected="0">
            <x v="1"/>
          </reference>
        </references>
      </pivotArea>
    </format>
    <format dxfId="241">
      <pivotArea dataOnly="0" labelOnly="1" fieldPosition="0">
        <references count="2">
          <reference field="1" count="1">
            <x v="12"/>
          </reference>
          <reference field="2" count="1" selected="0">
            <x v="1"/>
          </reference>
        </references>
      </pivotArea>
    </format>
    <format dxfId="242">
      <pivotArea dataOnly="0" labelOnly="1" fieldPosition="0">
        <references count="2">
          <reference field="1" count="1">
            <x v="13"/>
          </reference>
          <reference field="2" count="1" selected="0">
            <x v="1"/>
          </reference>
        </references>
      </pivotArea>
    </format>
    <format dxfId="243">
      <pivotArea dataOnly="0" labelOnly="1" fieldPosition="0">
        <references count="2">
          <reference field="1" count="1">
            <x v="14"/>
          </reference>
          <reference field="2" count="1" selected="0">
            <x v="1"/>
          </reference>
        </references>
      </pivotArea>
    </format>
    <format dxfId="244">
      <pivotArea dataOnly="0" labelOnly="1" fieldPosition="0">
        <references count="2">
          <reference field="1" count="1">
            <x v="15"/>
          </reference>
          <reference field="2" count="1" selected="0">
            <x v="1"/>
          </reference>
        </references>
      </pivotArea>
    </format>
    <format dxfId="245">
      <pivotArea dataOnly="0" labelOnly="1" fieldPosition="0">
        <references count="2">
          <reference field="1" count="1">
            <x v="16"/>
          </reference>
          <reference field="2" count="1" selected="0">
            <x v="1"/>
          </reference>
        </references>
      </pivotArea>
    </format>
    <format dxfId="246">
      <pivotArea dataOnly="0" labelOnly="1" fieldPosition="0">
        <references count="2">
          <reference field="1" count="1">
            <x v="17"/>
          </reference>
          <reference field="2" count="1" selected="0">
            <x v="1"/>
          </reference>
        </references>
      </pivotArea>
    </format>
    <format dxfId="247">
      <pivotArea dataOnly="0" labelOnly="1" fieldPosition="0">
        <references count="2">
          <reference field="1" count="1">
            <x v="18"/>
          </reference>
          <reference field="2" count="1" selected="0">
            <x v="1"/>
          </reference>
        </references>
      </pivotArea>
    </format>
    <format dxfId="248">
      <pivotArea dataOnly="0" labelOnly="1" fieldPosition="0">
        <references count="2">
          <reference field="1" count="1">
            <x v="19"/>
          </reference>
          <reference field="2" count="1" selected="0">
            <x v="1"/>
          </reference>
        </references>
      </pivotArea>
    </format>
    <format dxfId="249">
      <pivotArea dataOnly="0" labelOnly="1" fieldPosition="0">
        <references count="2">
          <reference field="1" count="1">
            <x v="20"/>
          </reference>
          <reference field="2" count="1" selected="0">
            <x v="1"/>
          </reference>
        </references>
      </pivotArea>
    </format>
    <format dxfId="250">
      <pivotArea dataOnly="0" labelOnly="1" fieldPosition="0">
        <references count="2">
          <reference field="1" count="1">
            <x v="21"/>
          </reference>
          <reference field="2" count="1" selected="0">
            <x v="1"/>
          </reference>
        </references>
      </pivotArea>
    </format>
    <format dxfId="251">
      <pivotArea dataOnly="0" labelOnly="1" fieldPosition="0">
        <references count="2">
          <reference field="1" count="1">
            <x v="22"/>
          </reference>
          <reference field="2" count="1" selected="0">
            <x v="1"/>
          </reference>
        </references>
      </pivotArea>
    </format>
    <format dxfId="252">
      <pivotArea dataOnly="0" labelOnly="1" fieldPosition="0">
        <references count="2">
          <reference field="1" count="1">
            <x v="23"/>
          </reference>
          <reference field="2" count="1" selected="0">
            <x v="1"/>
          </reference>
        </references>
      </pivotArea>
    </format>
    <format dxfId="253">
      <pivotArea dataOnly="0" labelOnly="1" fieldPosition="0">
        <references count="2">
          <reference field="1" count="1">
            <x v="24"/>
          </reference>
          <reference field="2" count="1" selected="0">
            <x v="1"/>
          </reference>
        </references>
      </pivotArea>
    </format>
    <format dxfId="254">
      <pivotArea dataOnly="0" labelOnly="1" fieldPosition="0">
        <references count="2">
          <reference field="1" count="1">
            <x v="25"/>
          </reference>
          <reference field="2" count="1" selected="0">
            <x v="1"/>
          </reference>
        </references>
      </pivotArea>
    </format>
    <format dxfId="255">
      <pivotArea dataOnly="0" labelOnly="1" fieldPosition="0">
        <references count="2">
          <reference field="1" count="1">
            <x v="26"/>
          </reference>
          <reference field="2" count="1" selected="0">
            <x v="1"/>
          </reference>
        </references>
      </pivotArea>
    </format>
    <format dxfId="256">
      <pivotArea dataOnly="0" labelOnly="1" fieldPosition="0">
        <references count="2">
          <reference field="1" count="1">
            <x v="27"/>
          </reference>
          <reference field="2" count="1" selected="0">
            <x v="1"/>
          </reference>
        </references>
      </pivotArea>
    </format>
    <format dxfId="257">
      <pivotArea dataOnly="0" labelOnly="1" fieldPosition="0">
        <references count="2">
          <reference field="1" count="1">
            <x v="28"/>
          </reference>
          <reference field="2" count="1" selected="0">
            <x v="1"/>
          </reference>
        </references>
      </pivotArea>
    </format>
    <format dxfId="258">
      <pivotArea dataOnly="0" labelOnly="1" fieldPosition="0">
        <references count="2">
          <reference field="1" count="1">
            <x v="29"/>
          </reference>
          <reference field="2" count="1" selected="0">
            <x v="1"/>
          </reference>
        </references>
      </pivotArea>
    </format>
    <format dxfId="259">
      <pivotArea dataOnly="0" labelOnly="1" fieldPosition="0">
        <references count="2">
          <reference field="1" count="1">
            <x v="30"/>
          </reference>
          <reference field="2" count="1" selected="0">
            <x v="1"/>
          </reference>
        </references>
      </pivotArea>
    </format>
    <format dxfId="260">
      <pivotArea dataOnly="0" labelOnly="1" fieldPosition="0">
        <references count="2">
          <reference field="1" count="1">
            <x v="31"/>
          </reference>
          <reference field="2" count="1" selected="0">
            <x v="1"/>
          </reference>
        </references>
      </pivotArea>
    </format>
    <format dxfId="261">
      <pivotArea dataOnly="0" labelOnly="1" offset="B256:B256" fieldPosition="0">
        <references count="1">
          <reference field="2" count="1">
            <x v="2"/>
          </reference>
        </references>
      </pivotArea>
    </format>
    <format dxfId="262">
      <pivotArea dataOnly="0" labelOnly="1" fieldPosition="0">
        <references count="2">
          <reference field="1" count="1">
            <x v="32"/>
          </reference>
          <reference field="2" count="1" selected="0">
            <x v="2"/>
          </reference>
        </references>
      </pivotArea>
    </format>
    <format dxfId="263">
      <pivotArea dataOnly="0" labelOnly="1" fieldPosition="0">
        <references count="2">
          <reference field="1" count="1">
            <x v="33"/>
          </reference>
          <reference field="2" count="1" selected="0">
            <x v="2"/>
          </reference>
        </references>
      </pivotArea>
    </format>
    <format dxfId="264">
      <pivotArea dataOnly="0" labelOnly="1" fieldPosition="0">
        <references count="2">
          <reference field="1" count="1">
            <x v="34"/>
          </reference>
          <reference field="2" count="1" selected="0">
            <x v="2"/>
          </reference>
        </references>
      </pivotArea>
    </format>
    <format dxfId="265">
      <pivotArea dataOnly="0" labelOnly="1" fieldPosition="0">
        <references count="2">
          <reference field="1" count="1">
            <x v="35"/>
          </reference>
          <reference field="2" count="1" selected="0">
            <x v="2"/>
          </reference>
        </references>
      </pivotArea>
    </format>
    <format dxfId="266">
      <pivotArea dataOnly="0" labelOnly="1" fieldPosition="0">
        <references count="2">
          <reference field="1" count="1">
            <x v="36"/>
          </reference>
          <reference field="2" count="1" selected="0">
            <x v="2"/>
          </reference>
        </references>
      </pivotArea>
    </format>
    <format dxfId="267">
      <pivotArea dataOnly="0" labelOnly="1" fieldPosition="0">
        <references count="2">
          <reference field="1" count="1">
            <x v="37"/>
          </reference>
          <reference field="2" count="1" selected="0">
            <x v="2"/>
          </reference>
        </references>
      </pivotArea>
    </format>
    <format dxfId="268">
      <pivotArea dataOnly="0" labelOnly="1" fieldPosition="0">
        <references count="2">
          <reference field="1" count="1">
            <x v="38"/>
          </reference>
          <reference field="2" count="1" selected="0">
            <x v="2"/>
          </reference>
        </references>
      </pivotArea>
    </format>
    <format dxfId="269">
      <pivotArea dataOnly="0" labelOnly="1" fieldPosition="0">
        <references count="2">
          <reference field="1" count="1">
            <x v="39"/>
          </reference>
          <reference field="2" count="1" selected="0">
            <x v="2"/>
          </reference>
        </references>
      </pivotArea>
    </format>
    <format dxfId="270">
      <pivotArea dataOnly="0" labelOnly="1" fieldPosition="0">
        <references count="2">
          <reference field="1" count="1">
            <x v="40"/>
          </reference>
          <reference field="2" count="1" selected="0">
            <x v="2"/>
          </reference>
        </references>
      </pivotArea>
    </format>
    <format dxfId="271">
      <pivotArea dataOnly="0" labelOnly="1" fieldPosition="0">
        <references count="2">
          <reference field="1" count="1">
            <x v="41"/>
          </reference>
          <reference field="2" count="1" selected="0">
            <x v="2"/>
          </reference>
        </references>
      </pivotArea>
    </format>
    <format dxfId="272">
      <pivotArea dataOnly="0" labelOnly="1" fieldPosition="0">
        <references count="2">
          <reference field="1" count="1">
            <x v="42"/>
          </reference>
          <reference field="2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onnection" connectionId="1" autoFormatId="16" applyNumberFormats="0" applyBorderFormats="0" applyFontFormats="1" applyPatternFormats="1" applyAlignmentFormats="0" applyWidthHeightFormats="0">
  <queryTableRefresh preserveSortFilterLayout="0" nextId="2">
    <queryTableFields count="1">
      <queryTableField id="1" dataBound="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po" sourceName="repo">
  <pivotTables>
    <pivotTable tabId="2" name="PivotTable1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1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POS" cache="Slicer_repo" caption="REPOS" style="SlicerStyleLight4" rowHeight="225425"/>
  <slicer name="MONTHS" cache="Slicer_month" caption="MONTHS" columnCount="2" style="SlicerStyleLight5" rowHeight="225425"/>
</slicers>
</file>

<file path=xl/tables/table1.xml><?xml version="1.0" encoding="utf-8"?>
<table xmlns="http://schemas.openxmlformats.org/spreadsheetml/2006/main" id="1" name="TABLE_1" displayName="TABLE_1" ref="A1:K144" totalsRowShown="0">
  <tableColumns count="11">
    <tableColumn id="1" name="repo" dataDxfId="273"/>
    <tableColumn id="2" name="date" dataDxfId="274"/>
    <tableColumn id="11" name="month" dataDxfId="275">
      <calculatedColumnFormula>TEXT(B2,"MMM-YYYY")</calculatedColumnFormula>
    </tableColumn>
    <tableColumn id="10" name="time" dataDxfId="276"/>
    <tableColumn id="3" name="docker_image" dataDxfId="277"/>
    <tableColumn id="4" name="pull_count" dataDxfId="278"/>
    <tableColumn id="5" name="last_updated" dataDxfId="279"/>
    <tableColumn id="6" name="stars" dataDxfId="280"/>
    <tableColumn id="7" name="forks" dataDxfId="281"/>
    <tableColumn id="8" name="official" dataDxfId="282"/>
    <tableColumn id="9" name="automated" dataDxfId="283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A144"/>
  <sheetViews>
    <sheetView topLeftCell="A127" workbookViewId="0">
      <selection activeCell="C146" sqref="C146"/>
    </sheetView>
  </sheetViews>
  <sheetFormatPr defaultColWidth="9.14285714285714" defaultRowHeight="15"/>
  <cols>
    <col min="1" max="1" width="64.980952380952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Q144"/>
  <sheetViews>
    <sheetView zoomScale="110" zoomScaleNormal="110" workbookViewId="0">
      <selection activeCell="P50" sqref="P50"/>
    </sheetView>
  </sheetViews>
  <sheetFormatPr defaultColWidth="9.14285714285714" defaultRowHeight="16.5"/>
  <cols>
    <col min="1" max="1" width="31.6761904761905" style="11" customWidth="1"/>
    <col min="2" max="2" width="15.6761904761905" style="12" customWidth="1"/>
    <col min="3" max="3" width="14.152380952381" style="11" customWidth="1"/>
    <col min="4" max="4" width="13.7714285714286" style="11" customWidth="1"/>
    <col min="5" max="5" width="43.5809523809524" style="11" customWidth="1"/>
    <col min="6" max="6" width="15.6761904761905" style="11" customWidth="1"/>
    <col min="7" max="7" width="32.8190476190476" style="11" customWidth="1"/>
    <col min="8" max="8" width="9.58095238095238" style="11" customWidth="1"/>
    <col min="9" max="9" width="9.96190476190476" style="11" customWidth="1"/>
    <col min="10" max="10" width="11.8666666666667" style="11" customWidth="1"/>
    <col min="11" max="11" width="15.8666666666667" style="11" customWidth="1"/>
    <col min="14" max="14" width="11.1428571428571"/>
    <col min="15" max="15" width="9.71428571428571"/>
    <col min="16" max="16" width="23.4285714285714"/>
    <col min="17" max="17" width="32.8571428571429"/>
    <col min="20" max="20" width="9.71428571428571"/>
    <col min="21" max="21" width="23.4285714285714"/>
    <col min="22" max="24" width="32.8571428571429"/>
    <col min="25" max="25" width="11.8571428571429"/>
  </cols>
  <sheetData>
    <row r="1" customFormat="1" ht="22.5" customHeight="1" spans="1:17">
      <c r="A1" s="13" t="s">
        <v>144</v>
      </c>
      <c r="B1" s="14" t="s">
        <v>145</v>
      </c>
      <c r="C1" s="13" t="s">
        <v>146</v>
      </c>
      <c r="D1" s="13" t="s">
        <v>147</v>
      </c>
      <c r="E1" s="13" t="s">
        <v>148</v>
      </c>
      <c r="F1" s="13" t="s">
        <v>149</v>
      </c>
      <c r="G1" s="13" t="s">
        <v>150</v>
      </c>
      <c r="H1" s="13" t="s">
        <v>151</v>
      </c>
      <c r="I1" s="13" t="s">
        <v>152</v>
      </c>
      <c r="J1" s="13" t="s">
        <v>153</v>
      </c>
      <c r="K1" s="13" t="s">
        <v>154</v>
      </c>
      <c r="M1" s="15" t="s">
        <v>155</v>
      </c>
      <c r="N1" s="15"/>
      <c r="O1" s="16" t="s">
        <v>144</v>
      </c>
      <c r="P1" s="17"/>
      <c r="Q1" s="17"/>
    </row>
    <row r="2" customFormat="1" ht="22.5" customHeight="1" spans="1:17">
      <c r="A2" s="11" t="s">
        <v>156</v>
      </c>
      <c r="B2" s="12">
        <v>46081</v>
      </c>
      <c r="C2" s="18" t="str">
        <f t="shared" ref="C2:C65" si="0">TEXT(B2,"MMM-YYYY")</f>
        <v>Feb-2026</v>
      </c>
      <c r="D2" s="11" t="s">
        <v>157</v>
      </c>
      <c r="E2" s="11" t="s">
        <v>158</v>
      </c>
      <c r="F2" s="11">
        <v>53469</v>
      </c>
      <c r="G2" s="11" t="s">
        <v>159</v>
      </c>
      <c r="H2" s="11">
        <v>2</v>
      </c>
      <c r="I2" s="11">
        <v>0</v>
      </c>
      <c r="J2" s="11" t="b">
        <v>0</v>
      </c>
      <c r="K2" s="11" t="b">
        <v>0</v>
      </c>
      <c r="M2" s="15" t="s">
        <v>146</v>
      </c>
      <c r="N2" s="15" t="s">
        <v>145</v>
      </c>
      <c r="O2" s="15" t="s">
        <v>160</v>
      </c>
      <c r="P2" s="15" t="s">
        <v>156</v>
      </c>
      <c r="Q2" s="15" t="s">
        <v>161</v>
      </c>
    </row>
    <row r="3" customFormat="1" ht="22.5" customHeight="1" spans="1:17">
      <c r="A3" s="11" t="s">
        <v>161</v>
      </c>
      <c r="B3" s="12">
        <v>46081</v>
      </c>
      <c r="C3" s="18" t="str">
        <f t="shared" si="0"/>
        <v>Feb-2026</v>
      </c>
      <c r="D3" s="11" t="s">
        <v>157</v>
      </c>
      <c r="E3" s="11" t="s">
        <v>162</v>
      </c>
      <c r="F3" s="11">
        <v>28130</v>
      </c>
      <c r="G3" s="11" t="s">
        <v>163</v>
      </c>
      <c r="H3" s="11">
        <v>1</v>
      </c>
      <c r="I3" s="11">
        <v>0</v>
      </c>
      <c r="J3" s="11" t="b">
        <v>0</v>
      </c>
      <c r="K3" s="11" t="b">
        <v>0</v>
      </c>
      <c r="M3" s="19" t="s">
        <v>164</v>
      </c>
      <c r="N3" s="19"/>
      <c r="O3" s="19"/>
      <c r="P3" s="19">
        <v>53469</v>
      </c>
      <c r="Q3" s="19">
        <v>28130</v>
      </c>
    </row>
    <row r="4" customFormat="1" ht="22.5" customHeight="1" spans="1:17">
      <c r="A4" s="11" t="s">
        <v>156</v>
      </c>
      <c r="B4" s="12">
        <v>46081</v>
      </c>
      <c r="C4" s="18" t="str">
        <f t="shared" si="0"/>
        <v>Feb-2026</v>
      </c>
      <c r="D4" s="11" t="s">
        <v>165</v>
      </c>
      <c r="E4" s="11" t="s">
        <v>158</v>
      </c>
      <c r="F4" s="11">
        <v>53469</v>
      </c>
      <c r="G4" s="11" t="s">
        <v>159</v>
      </c>
      <c r="H4" s="11">
        <v>2</v>
      </c>
      <c r="I4" s="11">
        <v>0</v>
      </c>
      <c r="J4" s="11" t="b">
        <v>0</v>
      </c>
      <c r="K4" s="11" t="b">
        <v>0</v>
      </c>
      <c r="M4" s="17"/>
      <c r="N4" s="20">
        <v>46081</v>
      </c>
      <c r="O4" s="19"/>
      <c r="P4" s="19">
        <v>53469</v>
      </c>
      <c r="Q4" s="19">
        <v>28130</v>
      </c>
    </row>
    <row r="5" customFormat="1" ht="22.5" customHeight="1" spans="1:17">
      <c r="A5" s="11" t="s">
        <v>161</v>
      </c>
      <c r="B5" s="12">
        <v>46081</v>
      </c>
      <c r="C5" s="18" t="str">
        <f t="shared" si="0"/>
        <v>Feb-2026</v>
      </c>
      <c r="D5" s="11" t="s">
        <v>165</v>
      </c>
      <c r="E5" s="11" t="s">
        <v>162</v>
      </c>
      <c r="F5" s="11">
        <v>28130</v>
      </c>
      <c r="G5" s="11" t="s">
        <v>163</v>
      </c>
      <c r="H5" s="11">
        <v>1</v>
      </c>
      <c r="I5" s="11">
        <v>0</v>
      </c>
      <c r="J5" s="11" t="b">
        <v>0</v>
      </c>
      <c r="K5" s="11" t="b">
        <v>0</v>
      </c>
      <c r="M5" s="19" t="s">
        <v>166</v>
      </c>
      <c r="N5" s="19"/>
      <c r="O5" s="19">
        <v>441</v>
      </c>
      <c r="P5" s="19">
        <v>58730</v>
      </c>
      <c r="Q5" s="19">
        <v>29548</v>
      </c>
    </row>
    <row r="6" customFormat="1" ht="22.5" customHeight="1" spans="1:17">
      <c r="A6" s="11" t="s">
        <v>156</v>
      </c>
      <c r="B6" s="12">
        <v>46082</v>
      </c>
      <c r="C6" s="18" t="str">
        <f t="shared" si="0"/>
        <v>Mar-2026</v>
      </c>
      <c r="D6" s="11" t="s">
        <v>167</v>
      </c>
      <c r="E6" s="11" t="s">
        <v>158</v>
      </c>
      <c r="F6" s="11">
        <v>53735</v>
      </c>
      <c r="G6" s="11" t="s">
        <v>168</v>
      </c>
      <c r="H6" s="11">
        <v>2</v>
      </c>
      <c r="I6" s="11">
        <v>0</v>
      </c>
      <c r="J6" s="11" t="b">
        <v>0</v>
      </c>
      <c r="K6" s="11" t="b">
        <v>0</v>
      </c>
      <c r="M6" s="17"/>
      <c r="N6" s="20">
        <v>46082</v>
      </c>
      <c r="O6" s="19"/>
      <c r="P6" s="19">
        <v>53735</v>
      </c>
      <c r="Q6" s="19">
        <v>28132</v>
      </c>
    </row>
    <row r="7" customFormat="1" ht="22.5" customHeight="1" spans="1:17">
      <c r="A7" s="11" t="s">
        <v>161</v>
      </c>
      <c r="B7" s="12">
        <v>46082</v>
      </c>
      <c r="C7" s="18" t="str">
        <f t="shared" si="0"/>
        <v>Mar-2026</v>
      </c>
      <c r="D7" s="11" t="s">
        <v>167</v>
      </c>
      <c r="E7" s="11" t="s">
        <v>162</v>
      </c>
      <c r="F7" s="11">
        <v>28132</v>
      </c>
      <c r="G7" s="11" t="s">
        <v>163</v>
      </c>
      <c r="H7" s="11">
        <v>1</v>
      </c>
      <c r="I7" s="11">
        <v>0</v>
      </c>
      <c r="J7" s="11" t="b">
        <v>0</v>
      </c>
      <c r="K7" s="11" t="b">
        <v>0</v>
      </c>
      <c r="M7" s="17"/>
      <c r="N7" s="20">
        <v>46083</v>
      </c>
      <c r="O7" s="19"/>
      <c r="P7" s="19">
        <v>53836</v>
      </c>
      <c r="Q7" s="19">
        <v>28154</v>
      </c>
    </row>
    <row r="8" customFormat="1" ht="22.5" customHeight="1" spans="1:17">
      <c r="A8" s="11" t="s">
        <v>156</v>
      </c>
      <c r="B8" s="12">
        <v>46083</v>
      </c>
      <c r="C8" s="18" t="str">
        <f t="shared" si="0"/>
        <v>Mar-2026</v>
      </c>
      <c r="D8" s="11" t="s">
        <v>169</v>
      </c>
      <c r="E8" s="11" t="s">
        <v>158</v>
      </c>
      <c r="F8" s="11">
        <v>53836</v>
      </c>
      <c r="G8" s="11" t="s">
        <v>170</v>
      </c>
      <c r="H8" s="11">
        <v>2</v>
      </c>
      <c r="I8" s="11">
        <v>0</v>
      </c>
      <c r="J8" s="11" t="b">
        <v>0</v>
      </c>
      <c r="K8" s="11" t="b">
        <v>0</v>
      </c>
      <c r="M8" s="17"/>
      <c r="N8" s="20">
        <v>46084</v>
      </c>
      <c r="O8" s="19"/>
      <c r="P8" s="19">
        <v>53960</v>
      </c>
      <c r="Q8" s="19">
        <v>28179</v>
      </c>
    </row>
    <row r="9" customFormat="1" ht="22.5" customHeight="1" spans="1:17">
      <c r="A9" s="11" t="s">
        <v>161</v>
      </c>
      <c r="B9" s="12">
        <v>46083</v>
      </c>
      <c r="C9" s="18" t="str">
        <f t="shared" si="0"/>
        <v>Mar-2026</v>
      </c>
      <c r="D9" s="11" t="s">
        <v>169</v>
      </c>
      <c r="E9" s="11" t="s">
        <v>162</v>
      </c>
      <c r="F9" s="11">
        <v>28154</v>
      </c>
      <c r="G9" s="11" t="s">
        <v>163</v>
      </c>
      <c r="H9" s="11">
        <v>1</v>
      </c>
      <c r="I9" s="11">
        <v>0</v>
      </c>
      <c r="J9" s="11" t="b">
        <v>0</v>
      </c>
      <c r="K9" s="11" t="b">
        <v>0</v>
      </c>
      <c r="M9" s="17"/>
      <c r="N9" s="20">
        <v>46085</v>
      </c>
      <c r="O9" s="19"/>
      <c r="P9" s="19">
        <v>54056</v>
      </c>
      <c r="Q9" s="19">
        <v>28204</v>
      </c>
    </row>
    <row r="10" customFormat="1" ht="22.5" customHeight="1" spans="1:17">
      <c r="A10" s="11" t="s">
        <v>156</v>
      </c>
      <c r="B10" s="12">
        <v>46084</v>
      </c>
      <c r="C10" s="18" t="str">
        <f t="shared" si="0"/>
        <v>Mar-2026</v>
      </c>
      <c r="D10" s="11" t="s">
        <v>171</v>
      </c>
      <c r="E10" s="11" t="s">
        <v>158</v>
      </c>
      <c r="F10" s="11">
        <v>53960</v>
      </c>
      <c r="G10" s="11" t="s">
        <v>172</v>
      </c>
      <c r="H10" s="11">
        <v>2</v>
      </c>
      <c r="I10" s="11">
        <v>0</v>
      </c>
      <c r="J10" s="11" t="b">
        <v>0</v>
      </c>
      <c r="K10" s="11" t="b">
        <v>0</v>
      </c>
      <c r="M10" s="17"/>
      <c r="N10" s="20">
        <v>46086</v>
      </c>
      <c r="O10" s="19"/>
      <c r="P10" s="19">
        <v>54180</v>
      </c>
      <c r="Q10" s="19">
        <v>28243</v>
      </c>
    </row>
    <row r="11" customFormat="1" ht="22.5" customHeight="1" spans="1:17">
      <c r="A11" s="11" t="s">
        <v>161</v>
      </c>
      <c r="B11" s="12">
        <v>46084</v>
      </c>
      <c r="C11" s="18" t="str">
        <f t="shared" si="0"/>
        <v>Mar-2026</v>
      </c>
      <c r="D11" s="11" t="s">
        <v>171</v>
      </c>
      <c r="E11" s="11" t="s">
        <v>162</v>
      </c>
      <c r="F11" s="11">
        <v>28179</v>
      </c>
      <c r="G11" s="11" t="s">
        <v>163</v>
      </c>
      <c r="H11" s="11">
        <v>1</v>
      </c>
      <c r="I11" s="11">
        <v>0</v>
      </c>
      <c r="J11" s="11" t="b">
        <v>0</v>
      </c>
      <c r="K11" s="11" t="b">
        <v>0</v>
      </c>
      <c r="M11" s="17"/>
      <c r="N11" s="20">
        <v>46087</v>
      </c>
      <c r="O11" s="19"/>
      <c r="P11" s="19">
        <v>54306</v>
      </c>
      <c r="Q11" s="19">
        <v>28278</v>
      </c>
    </row>
    <row r="12" customFormat="1" ht="22.5" customHeight="1" spans="1:17">
      <c r="A12" s="11" t="s">
        <v>156</v>
      </c>
      <c r="B12" s="12">
        <v>46085</v>
      </c>
      <c r="C12" s="18" t="str">
        <f t="shared" si="0"/>
        <v>Mar-2026</v>
      </c>
      <c r="D12" s="11" t="s">
        <v>173</v>
      </c>
      <c r="E12" s="11" t="s">
        <v>158</v>
      </c>
      <c r="F12" s="11">
        <v>54056</v>
      </c>
      <c r="G12" s="11" t="s">
        <v>174</v>
      </c>
      <c r="H12" s="11">
        <v>2</v>
      </c>
      <c r="I12" s="11">
        <v>0</v>
      </c>
      <c r="J12" s="11" t="b">
        <v>0</v>
      </c>
      <c r="K12" s="11" t="b">
        <v>0</v>
      </c>
      <c r="M12" s="17"/>
      <c r="N12" s="20">
        <v>46088</v>
      </c>
      <c r="O12" s="19"/>
      <c r="P12" s="19">
        <v>54450</v>
      </c>
      <c r="Q12" s="19">
        <v>28295</v>
      </c>
    </row>
    <row r="13" customFormat="1" ht="22.5" customHeight="1" spans="1:17">
      <c r="A13" s="11" t="s">
        <v>161</v>
      </c>
      <c r="B13" s="12">
        <v>46085</v>
      </c>
      <c r="C13" s="18" t="str">
        <f t="shared" si="0"/>
        <v>Mar-2026</v>
      </c>
      <c r="D13" s="11" t="s">
        <v>173</v>
      </c>
      <c r="E13" s="11" t="s">
        <v>162</v>
      </c>
      <c r="F13" s="11">
        <v>28204</v>
      </c>
      <c r="G13" s="11" t="s">
        <v>163</v>
      </c>
      <c r="H13" s="11">
        <v>1</v>
      </c>
      <c r="I13" s="11">
        <v>0</v>
      </c>
      <c r="J13" s="11" t="b">
        <v>0</v>
      </c>
      <c r="K13" s="11" t="b">
        <v>0</v>
      </c>
      <c r="M13" s="17"/>
      <c r="N13" s="20">
        <v>46089</v>
      </c>
      <c r="O13" s="19"/>
      <c r="P13" s="19">
        <v>54776</v>
      </c>
      <c r="Q13" s="19">
        <v>28314</v>
      </c>
    </row>
    <row r="14" customFormat="1" ht="22.5" customHeight="1" spans="1:17">
      <c r="A14" s="11" t="s">
        <v>156</v>
      </c>
      <c r="B14" s="12">
        <v>46086</v>
      </c>
      <c r="C14" s="18" t="str">
        <f t="shared" si="0"/>
        <v>Mar-2026</v>
      </c>
      <c r="D14" s="11" t="s">
        <v>175</v>
      </c>
      <c r="E14" s="11" t="s">
        <v>158</v>
      </c>
      <c r="F14" s="11">
        <v>54180</v>
      </c>
      <c r="G14" s="11" t="s">
        <v>176</v>
      </c>
      <c r="H14" s="11">
        <v>2</v>
      </c>
      <c r="I14" s="11">
        <v>0</v>
      </c>
      <c r="J14" s="11" t="b">
        <v>0</v>
      </c>
      <c r="K14" s="11" t="b">
        <v>0</v>
      </c>
      <c r="M14" s="17"/>
      <c r="N14" s="20">
        <v>46090</v>
      </c>
      <c r="O14" s="19"/>
      <c r="P14" s="19">
        <v>54878</v>
      </c>
      <c r="Q14" s="19">
        <v>28330</v>
      </c>
    </row>
    <row r="15" customFormat="1" ht="22.5" customHeight="1" spans="1:17">
      <c r="A15" s="11" t="s">
        <v>161</v>
      </c>
      <c r="B15" s="12">
        <v>46086</v>
      </c>
      <c r="C15" s="18" t="str">
        <f t="shared" si="0"/>
        <v>Mar-2026</v>
      </c>
      <c r="D15" s="11" t="s">
        <v>175</v>
      </c>
      <c r="E15" s="11" t="s">
        <v>162</v>
      </c>
      <c r="F15" s="11">
        <v>28243</v>
      </c>
      <c r="G15" s="11" t="s">
        <v>163</v>
      </c>
      <c r="H15" s="11">
        <v>1</v>
      </c>
      <c r="I15" s="11">
        <v>0</v>
      </c>
      <c r="J15" s="11" t="b">
        <v>0</v>
      </c>
      <c r="K15" s="11" t="b">
        <v>0</v>
      </c>
      <c r="M15" s="17"/>
      <c r="N15" s="20">
        <v>46091</v>
      </c>
      <c r="O15" s="19"/>
      <c r="P15" s="19">
        <v>54976</v>
      </c>
      <c r="Q15" s="19">
        <v>28377</v>
      </c>
    </row>
    <row r="16" customFormat="1" ht="22.5" customHeight="1" spans="1:17">
      <c r="A16" s="11" t="s">
        <v>156</v>
      </c>
      <c r="B16" s="12">
        <v>46087</v>
      </c>
      <c r="C16" s="18" t="str">
        <f t="shared" si="0"/>
        <v>Mar-2026</v>
      </c>
      <c r="D16" s="11" t="s">
        <v>177</v>
      </c>
      <c r="E16" s="11" t="s">
        <v>158</v>
      </c>
      <c r="F16" s="11">
        <v>54306</v>
      </c>
      <c r="G16" s="11" t="s">
        <v>178</v>
      </c>
      <c r="H16" s="11">
        <v>2</v>
      </c>
      <c r="I16" s="11">
        <v>0</v>
      </c>
      <c r="J16" s="11" t="b">
        <v>0</v>
      </c>
      <c r="K16" s="11" t="b">
        <v>0</v>
      </c>
      <c r="M16" s="17"/>
      <c r="N16" s="20">
        <v>46092</v>
      </c>
      <c r="O16" s="19"/>
      <c r="P16" s="19">
        <v>55133</v>
      </c>
      <c r="Q16" s="19">
        <v>28411</v>
      </c>
    </row>
    <row r="17" customFormat="1" ht="22.5" customHeight="1" spans="1:17">
      <c r="A17" s="11" t="s">
        <v>161</v>
      </c>
      <c r="B17" s="12">
        <v>46087</v>
      </c>
      <c r="C17" s="18" t="str">
        <f t="shared" si="0"/>
        <v>Mar-2026</v>
      </c>
      <c r="D17" s="11" t="s">
        <v>177</v>
      </c>
      <c r="E17" s="11" t="s">
        <v>162</v>
      </c>
      <c r="F17" s="11">
        <v>28278</v>
      </c>
      <c r="G17" s="11" t="s">
        <v>163</v>
      </c>
      <c r="H17" s="11">
        <v>1</v>
      </c>
      <c r="I17" s="11">
        <v>0</v>
      </c>
      <c r="J17" s="11" t="b">
        <v>0</v>
      </c>
      <c r="K17" s="11" t="b">
        <v>0</v>
      </c>
      <c r="M17" s="17"/>
      <c r="N17" s="20">
        <v>46093</v>
      </c>
      <c r="O17" s="19"/>
      <c r="P17" s="19">
        <v>55238</v>
      </c>
      <c r="Q17" s="19">
        <v>28435</v>
      </c>
    </row>
    <row r="18" customFormat="1" ht="22.5" customHeight="1" spans="1:17">
      <c r="A18" s="11" t="s">
        <v>156</v>
      </c>
      <c r="B18" s="12">
        <v>46088</v>
      </c>
      <c r="C18" s="18" t="str">
        <f t="shared" si="0"/>
        <v>Mar-2026</v>
      </c>
      <c r="D18" s="11" t="s">
        <v>179</v>
      </c>
      <c r="E18" s="11" t="s">
        <v>158</v>
      </c>
      <c r="F18" s="11">
        <v>54450</v>
      </c>
      <c r="G18" s="11" t="s">
        <v>180</v>
      </c>
      <c r="H18" s="11">
        <v>2</v>
      </c>
      <c r="I18" s="11">
        <v>0</v>
      </c>
      <c r="J18" s="11" t="b">
        <v>0</v>
      </c>
      <c r="K18" s="11" t="b">
        <v>0</v>
      </c>
      <c r="M18" s="17"/>
      <c r="N18" s="20">
        <v>46094</v>
      </c>
      <c r="O18" s="19"/>
      <c r="P18" s="19">
        <v>55320</v>
      </c>
      <c r="Q18" s="19">
        <v>28458</v>
      </c>
    </row>
    <row r="19" customFormat="1" ht="22.5" customHeight="1" spans="1:17">
      <c r="A19" s="11" t="s">
        <v>161</v>
      </c>
      <c r="B19" s="12">
        <v>46088</v>
      </c>
      <c r="C19" s="18" t="str">
        <f t="shared" si="0"/>
        <v>Mar-2026</v>
      </c>
      <c r="D19" s="11" t="s">
        <v>179</v>
      </c>
      <c r="E19" s="11" t="s">
        <v>162</v>
      </c>
      <c r="F19" s="11">
        <v>28295</v>
      </c>
      <c r="G19" s="11" t="s">
        <v>163</v>
      </c>
      <c r="H19" s="11">
        <v>1</v>
      </c>
      <c r="I19" s="11">
        <v>0</v>
      </c>
      <c r="J19" s="11" t="b">
        <v>0</v>
      </c>
      <c r="K19" s="11" t="b">
        <v>0</v>
      </c>
      <c r="M19" s="17"/>
      <c r="N19" s="20">
        <v>46095</v>
      </c>
      <c r="O19" s="19"/>
      <c r="P19" s="19">
        <v>55400</v>
      </c>
      <c r="Q19" s="19">
        <v>28474</v>
      </c>
    </row>
    <row r="20" customFormat="1" ht="22.5" customHeight="1" spans="1:17">
      <c r="A20" s="11" t="s">
        <v>156</v>
      </c>
      <c r="B20" s="12">
        <v>46089</v>
      </c>
      <c r="C20" s="18" t="str">
        <f t="shared" si="0"/>
        <v>Mar-2026</v>
      </c>
      <c r="D20" s="11" t="s">
        <v>181</v>
      </c>
      <c r="E20" s="11" t="s">
        <v>158</v>
      </c>
      <c r="F20" s="11">
        <v>54683</v>
      </c>
      <c r="G20" s="11" t="s">
        <v>182</v>
      </c>
      <c r="H20" s="11">
        <v>2</v>
      </c>
      <c r="I20" s="11">
        <v>0</v>
      </c>
      <c r="J20" s="11" t="b">
        <v>0</v>
      </c>
      <c r="K20" s="11" t="b">
        <v>0</v>
      </c>
      <c r="M20" s="17"/>
      <c r="N20" s="20">
        <v>46096</v>
      </c>
      <c r="O20" s="19"/>
      <c r="P20" s="19">
        <v>55979</v>
      </c>
      <c r="Q20" s="19">
        <v>28497</v>
      </c>
    </row>
    <row r="21" customFormat="1" ht="22.5" customHeight="1" spans="1:17">
      <c r="A21" s="11" t="s">
        <v>161</v>
      </c>
      <c r="B21" s="12">
        <v>46089</v>
      </c>
      <c r="C21" s="18" t="str">
        <f t="shared" si="0"/>
        <v>Mar-2026</v>
      </c>
      <c r="D21" s="11" t="s">
        <v>181</v>
      </c>
      <c r="E21" s="11" t="s">
        <v>162</v>
      </c>
      <c r="F21" s="11">
        <v>28314</v>
      </c>
      <c r="G21" s="11" t="s">
        <v>163</v>
      </c>
      <c r="H21" s="11">
        <v>1</v>
      </c>
      <c r="I21" s="11">
        <v>0</v>
      </c>
      <c r="J21" s="11" t="b">
        <v>0</v>
      </c>
      <c r="K21" s="11" t="b">
        <v>0</v>
      </c>
      <c r="M21" s="17"/>
      <c r="N21" s="20">
        <v>46097</v>
      </c>
      <c r="O21" s="19">
        <v>221</v>
      </c>
      <c r="P21" s="19">
        <v>56566</v>
      </c>
      <c r="Q21" s="19">
        <v>28522</v>
      </c>
    </row>
    <row r="22" customFormat="1" ht="22.5" customHeight="1" spans="1:17">
      <c r="A22" s="11" t="s">
        <v>156</v>
      </c>
      <c r="B22" s="12">
        <v>46089</v>
      </c>
      <c r="C22" s="18" t="str">
        <f t="shared" si="0"/>
        <v>Mar-2026</v>
      </c>
      <c r="D22" s="11" t="s">
        <v>183</v>
      </c>
      <c r="E22" s="11" t="s">
        <v>158</v>
      </c>
      <c r="F22" s="11">
        <v>54776</v>
      </c>
      <c r="G22" s="11" t="s">
        <v>184</v>
      </c>
      <c r="H22" s="11">
        <v>2</v>
      </c>
      <c r="I22" s="11">
        <v>0</v>
      </c>
      <c r="J22" s="11" t="b">
        <v>0</v>
      </c>
      <c r="K22" s="11" t="b">
        <v>0</v>
      </c>
      <c r="M22" s="17"/>
      <c r="N22" s="20">
        <v>46098</v>
      </c>
      <c r="O22" s="19">
        <v>223</v>
      </c>
      <c r="P22" s="19">
        <v>56663</v>
      </c>
      <c r="Q22" s="19">
        <v>28714</v>
      </c>
    </row>
    <row r="23" customFormat="1" ht="22.5" customHeight="1" spans="1:17">
      <c r="A23" s="11" t="s">
        <v>161</v>
      </c>
      <c r="B23" s="12">
        <v>46089</v>
      </c>
      <c r="C23" s="18" t="str">
        <f t="shared" si="0"/>
        <v>Mar-2026</v>
      </c>
      <c r="D23" s="11" t="s">
        <v>183</v>
      </c>
      <c r="E23" s="11" t="s">
        <v>162</v>
      </c>
      <c r="F23" s="11">
        <v>28314</v>
      </c>
      <c r="G23" s="11" t="s">
        <v>163</v>
      </c>
      <c r="H23" s="11">
        <v>1</v>
      </c>
      <c r="I23" s="11">
        <v>0</v>
      </c>
      <c r="J23" s="11" t="b">
        <v>0</v>
      </c>
      <c r="K23" s="11" t="b">
        <v>0</v>
      </c>
      <c r="M23" s="17"/>
      <c r="N23" s="20">
        <v>46099</v>
      </c>
      <c r="O23" s="19">
        <v>260</v>
      </c>
      <c r="P23" s="19">
        <v>56877</v>
      </c>
      <c r="Q23" s="19">
        <v>28798</v>
      </c>
    </row>
    <row r="24" customFormat="1" ht="22.5" customHeight="1" spans="1:17">
      <c r="A24" s="11" t="s">
        <v>156</v>
      </c>
      <c r="B24" s="12">
        <v>46090</v>
      </c>
      <c r="C24" s="18" t="str">
        <f t="shared" si="0"/>
        <v>Mar-2026</v>
      </c>
      <c r="D24" s="11" t="s">
        <v>185</v>
      </c>
      <c r="E24" s="11" t="s">
        <v>158</v>
      </c>
      <c r="F24" s="11">
        <v>54878</v>
      </c>
      <c r="G24" s="11" t="s">
        <v>186</v>
      </c>
      <c r="H24" s="11">
        <v>2</v>
      </c>
      <c r="I24" s="11">
        <v>0</v>
      </c>
      <c r="J24" s="11" t="b">
        <v>0</v>
      </c>
      <c r="K24" s="11" t="b">
        <v>0</v>
      </c>
      <c r="M24" s="17"/>
      <c r="N24" s="20">
        <v>46100</v>
      </c>
      <c r="O24" s="19">
        <v>267</v>
      </c>
      <c r="P24" s="19">
        <v>57023</v>
      </c>
      <c r="Q24" s="19">
        <v>28847</v>
      </c>
    </row>
    <row r="25" customFormat="1" ht="22.5" customHeight="1" spans="1:17">
      <c r="A25" s="11" t="s">
        <v>161</v>
      </c>
      <c r="B25" s="12">
        <v>46090</v>
      </c>
      <c r="C25" s="18" t="str">
        <f t="shared" si="0"/>
        <v>Mar-2026</v>
      </c>
      <c r="D25" s="11" t="s">
        <v>185</v>
      </c>
      <c r="E25" s="11" t="s">
        <v>162</v>
      </c>
      <c r="F25" s="11">
        <v>28330</v>
      </c>
      <c r="G25" s="11" t="s">
        <v>163</v>
      </c>
      <c r="H25" s="11">
        <v>1</v>
      </c>
      <c r="I25" s="11">
        <v>0</v>
      </c>
      <c r="J25" s="11" t="b">
        <v>0</v>
      </c>
      <c r="K25" s="11" t="b">
        <v>0</v>
      </c>
      <c r="M25" s="17"/>
      <c r="N25" s="20">
        <v>46101</v>
      </c>
      <c r="O25" s="19">
        <v>269</v>
      </c>
      <c r="P25" s="19">
        <v>57049</v>
      </c>
      <c r="Q25" s="19">
        <v>28856</v>
      </c>
    </row>
    <row r="26" customFormat="1" ht="22.5" customHeight="1" spans="1:17">
      <c r="A26" s="11" t="s">
        <v>156</v>
      </c>
      <c r="B26" s="12">
        <v>46091</v>
      </c>
      <c r="C26" s="18" t="str">
        <f t="shared" si="0"/>
        <v>Mar-2026</v>
      </c>
      <c r="D26" s="11" t="s">
        <v>187</v>
      </c>
      <c r="E26" s="11" t="s">
        <v>158</v>
      </c>
      <c r="F26" s="11">
        <v>54976</v>
      </c>
      <c r="G26" s="11" t="s">
        <v>188</v>
      </c>
      <c r="H26" s="11">
        <v>2</v>
      </c>
      <c r="I26" s="11">
        <v>0</v>
      </c>
      <c r="J26" s="11" t="b">
        <v>0</v>
      </c>
      <c r="K26" s="11" t="b">
        <v>0</v>
      </c>
      <c r="M26" s="17"/>
      <c r="N26" s="20">
        <v>46102</v>
      </c>
      <c r="O26" s="19">
        <v>279</v>
      </c>
      <c r="P26" s="19">
        <v>57144</v>
      </c>
      <c r="Q26" s="19">
        <v>28883</v>
      </c>
    </row>
    <row r="27" customFormat="1" ht="22.5" customHeight="1" spans="1:17">
      <c r="A27" s="11" t="s">
        <v>161</v>
      </c>
      <c r="B27" s="12">
        <v>46091</v>
      </c>
      <c r="C27" s="18" t="str">
        <f t="shared" si="0"/>
        <v>Mar-2026</v>
      </c>
      <c r="D27" s="11" t="s">
        <v>187</v>
      </c>
      <c r="E27" s="11" t="s">
        <v>162</v>
      </c>
      <c r="F27" s="11">
        <v>28377</v>
      </c>
      <c r="G27" s="11" t="s">
        <v>163</v>
      </c>
      <c r="H27" s="11">
        <v>1</v>
      </c>
      <c r="I27" s="11">
        <v>0</v>
      </c>
      <c r="J27" s="11" t="b">
        <v>0</v>
      </c>
      <c r="K27" s="11" t="b">
        <v>0</v>
      </c>
      <c r="M27" s="17"/>
      <c r="N27" s="20">
        <v>46103</v>
      </c>
      <c r="O27" s="19">
        <v>331</v>
      </c>
      <c r="P27" s="19">
        <v>57257</v>
      </c>
      <c r="Q27" s="19">
        <v>28912</v>
      </c>
    </row>
    <row r="28" customFormat="1" ht="22.5" customHeight="1" spans="1:17">
      <c r="A28" s="11" t="s">
        <v>156</v>
      </c>
      <c r="B28" s="12">
        <v>46092</v>
      </c>
      <c r="C28" s="18" t="str">
        <f t="shared" si="0"/>
        <v>Mar-2026</v>
      </c>
      <c r="D28" s="11" t="s">
        <v>189</v>
      </c>
      <c r="E28" s="11" t="s">
        <v>158</v>
      </c>
      <c r="F28" s="11">
        <v>55133</v>
      </c>
      <c r="G28" s="11" t="s">
        <v>190</v>
      </c>
      <c r="H28" s="11">
        <v>2</v>
      </c>
      <c r="I28" s="11">
        <v>0</v>
      </c>
      <c r="J28" s="11" t="b">
        <v>0</v>
      </c>
      <c r="K28" s="11" t="b">
        <v>0</v>
      </c>
      <c r="M28" s="17"/>
      <c r="N28" s="20">
        <v>46104</v>
      </c>
      <c r="O28" s="19">
        <v>336</v>
      </c>
      <c r="P28" s="19">
        <v>57440</v>
      </c>
      <c r="Q28" s="19">
        <v>28940</v>
      </c>
    </row>
    <row r="29" customFormat="1" ht="22.5" customHeight="1" spans="1:17">
      <c r="A29" s="11" t="s">
        <v>161</v>
      </c>
      <c r="B29" s="12">
        <v>46092</v>
      </c>
      <c r="C29" s="18" t="str">
        <f t="shared" si="0"/>
        <v>Mar-2026</v>
      </c>
      <c r="D29" s="11" t="s">
        <v>189</v>
      </c>
      <c r="E29" s="11" t="s">
        <v>162</v>
      </c>
      <c r="F29" s="11">
        <v>28411</v>
      </c>
      <c r="G29" s="11" t="s">
        <v>163</v>
      </c>
      <c r="H29" s="11">
        <v>1</v>
      </c>
      <c r="I29" s="11">
        <v>0</v>
      </c>
      <c r="J29" s="11" t="b">
        <v>0</v>
      </c>
      <c r="K29" s="11" t="b">
        <v>0</v>
      </c>
      <c r="M29" s="17"/>
      <c r="N29" s="20">
        <v>46105</v>
      </c>
      <c r="O29" s="19">
        <v>383</v>
      </c>
      <c r="P29" s="19">
        <v>57604</v>
      </c>
      <c r="Q29" s="19">
        <v>29065</v>
      </c>
    </row>
    <row r="30" customFormat="1" ht="22.5" customHeight="1" spans="1:17">
      <c r="A30" s="11" t="s">
        <v>156</v>
      </c>
      <c r="B30" s="12">
        <v>46093</v>
      </c>
      <c r="C30" s="18" t="str">
        <f t="shared" si="0"/>
        <v>Mar-2026</v>
      </c>
      <c r="D30" s="11" t="s">
        <v>191</v>
      </c>
      <c r="E30" s="11" t="s">
        <v>158</v>
      </c>
      <c r="F30" s="11">
        <v>55238</v>
      </c>
      <c r="G30" s="11" t="s">
        <v>192</v>
      </c>
      <c r="H30" s="11">
        <v>2</v>
      </c>
      <c r="I30" s="11">
        <v>0</v>
      </c>
      <c r="J30" s="11" t="b">
        <v>0</v>
      </c>
      <c r="K30" s="11" t="b">
        <v>0</v>
      </c>
      <c r="M30" s="17"/>
      <c r="N30" s="20">
        <v>46106</v>
      </c>
      <c r="O30" s="19">
        <v>400</v>
      </c>
      <c r="P30" s="19">
        <v>57711</v>
      </c>
      <c r="Q30" s="19">
        <v>29098</v>
      </c>
    </row>
    <row r="31" customFormat="1" ht="22.5" customHeight="1" spans="1:17">
      <c r="A31" s="11" t="s">
        <v>161</v>
      </c>
      <c r="B31" s="12">
        <v>46093</v>
      </c>
      <c r="C31" s="18" t="str">
        <f t="shared" si="0"/>
        <v>Mar-2026</v>
      </c>
      <c r="D31" s="11" t="s">
        <v>191</v>
      </c>
      <c r="E31" s="11" t="s">
        <v>162</v>
      </c>
      <c r="F31" s="11">
        <v>28435</v>
      </c>
      <c r="G31" s="11" t="s">
        <v>163</v>
      </c>
      <c r="H31" s="11">
        <v>1</v>
      </c>
      <c r="I31" s="11">
        <v>0</v>
      </c>
      <c r="J31" s="11" t="b">
        <v>0</v>
      </c>
      <c r="K31" s="11" t="b">
        <v>0</v>
      </c>
      <c r="M31" s="17"/>
      <c r="N31" s="20">
        <v>46107</v>
      </c>
      <c r="O31" s="19">
        <v>403</v>
      </c>
      <c r="P31" s="19">
        <v>57891</v>
      </c>
      <c r="Q31" s="19">
        <v>29112</v>
      </c>
    </row>
    <row r="32" customFormat="1" ht="22.5" customHeight="1" spans="1:17">
      <c r="A32" s="11" t="s">
        <v>156</v>
      </c>
      <c r="B32" s="12">
        <v>46094</v>
      </c>
      <c r="C32" s="18" t="str">
        <f t="shared" si="0"/>
        <v>Mar-2026</v>
      </c>
      <c r="D32" s="11" t="s">
        <v>193</v>
      </c>
      <c r="E32" s="11" t="s">
        <v>158</v>
      </c>
      <c r="F32" s="11">
        <v>55320</v>
      </c>
      <c r="G32" s="11" t="s">
        <v>194</v>
      </c>
      <c r="H32" s="11">
        <v>2</v>
      </c>
      <c r="I32" s="11">
        <v>0</v>
      </c>
      <c r="J32" s="11" t="b">
        <v>0</v>
      </c>
      <c r="K32" s="11" t="b">
        <v>0</v>
      </c>
      <c r="M32" s="17"/>
      <c r="N32" s="20">
        <v>46108</v>
      </c>
      <c r="O32" s="19">
        <v>409</v>
      </c>
      <c r="P32" s="19">
        <v>57982</v>
      </c>
      <c r="Q32" s="19">
        <v>29139</v>
      </c>
    </row>
    <row r="33" customFormat="1" ht="22.5" customHeight="1" spans="1:17">
      <c r="A33" s="11" t="s">
        <v>161</v>
      </c>
      <c r="B33" s="12">
        <v>46094</v>
      </c>
      <c r="C33" s="18" t="str">
        <f t="shared" si="0"/>
        <v>Mar-2026</v>
      </c>
      <c r="D33" s="11" t="s">
        <v>193</v>
      </c>
      <c r="E33" s="11" t="s">
        <v>162</v>
      </c>
      <c r="F33" s="11">
        <v>28458</v>
      </c>
      <c r="G33" s="11" t="s">
        <v>163</v>
      </c>
      <c r="H33" s="11">
        <v>1</v>
      </c>
      <c r="I33" s="11">
        <v>0</v>
      </c>
      <c r="J33" s="11" t="b">
        <v>0</v>
      </c>
      <c r="K33" s="11" t="b">
        <v>0</v>
      </c>
      <c r="M33" s="17"/>
      <c r="N33" s="20">
        <v>46109</v>
      </c>
      <c r="O33" s="19">
        <v>410</v>
      </c>
      <c r="P33" s="19">
        <v>58095</v>
      </c>
      <c r="Q33" s="19">
        <v>29175</v>
      </c>
    </row>
    <row r="34" customFormat="1" ht="22.5" customHeight="1" spans="1:17">
      <c r="A34" s="11" t="s">
        <v>156</v>
      </c>
      <c r="B34" s="12">
        <v>46095</v>
      </c>
      <c r="C34" s="18" t="str">
        <f t="shared" si="0"/>
        <v>Mar-2026</v>
      </c>
      <c r="D34" s="11" t="s">
        <v>195</v>
      </c>
      <c r="E34" s="11" t="s">
        <v>158</v>
      </c>
      <c r="F34" s="11">
        <v>55400</v>
      </c>
      <c r="G34" s="11" t="s">
        <v>196</v>
      </c>
      <c r="H34" s="11">
        <v>2</v>
      </c>
      <c r="I34" s="11">
        <v>0</v>
      </c>
      <c r="J34" s="11" t="b">
        <v>0</v>
      </c>
      <c r="K34" s="11" t="b">
        <v>0</v>
      </c>
      <c r="M34" s="17"/>
      <c r="N34" s="20">
        <v>46110</v>
      </c>
      <c r="O34" s="19">
        <v>411</v>
      </c>
      <c r="P34" s="19">
        <v>58348</v>
      </c>
      <c r="Q34" s="19">
        <v>29186</v>
      </c>
    </row>
    <row r="35" customFormat="1" ht="22.5" customHeight="1" spans="1:17">
      <c r="A35" s="11" t="s">
        <v>161</v>
      </c>
      <c r="B35" s="12">
        <v>46095</v>
      </c>
      <c r="C35" s="18" t="str">
        <f t="shared" si="0"/>
        <v>Mar-2026</v>
      </c>
      <c r="D35" s="11" t="s">
        <v>195</v>
      </c>
      <c r="E35" s="11" t="s">
        <v>162</v>
      </c>
      <c r="F35" s="11">
        <v>28474</v>
      </c>
      <c r="G35" s="11" t="s">
        <v>163</v>
      </c>
      <c r="H35" s="11">
        <v>1</v>
      </c>
      <c r="I35" s="11">
        <v>0</v>
      </c>
      <c r="J35" s="11" t="b">
        <v>0</v>
      </c>
      <c r="K35" s="11" t="b">
        <v>0</v>
      </c>
      <c r="M35" s="17"/>
      <c r="N35" s="20">
        <v>46111</v>
      </c>
      <c r="O35" s="19">
        <v>427</v>
      </c>
      <c r="P35" s="19">
        <v>58567</v>
      </c>
      <c r="Q35" s="19">
        <v>29498</v>
      </c>
    </row>
    <row r="36" customFormat="1" ht="22.5" customHeight="1" spans="1:17">
      <c r="A36" s="11" t="s">
        <v>156</v>
      </c>
      <c r="B36" s="12">
        <v>46096</v>
      </c>
      <c r="C36" s="18" t="str">
        <f t="shared" si="0"/>
        <v>Mar-2026</v>
      </c>
      <c r="D36" s="11" t="s">
        <v>197</v>
      </c>
      <c r="E36" s="11" t="s">
        <v>158</v>
      </c>
      <c r="F36" s="11">
        <v>55782</v>
      </c>
      <c r="G36" s="11" t="s">
        <v>198</v>
      </c>
      <c r="H36" s="11">
        <v>2</v>
      </c>
      <c r="I36" s="11">
        <v>0</v>
      </c>
      <c r="J36" s="11" t="b">
        <v>0</v>
      </c>
      <c r="K36" s="11" t="b">
        <v>0</v>
      </c>
      <c r="M36" s="17"/>
      <c r="N36" s="20">
        <v>46112</v>
      </c>
      <c r="O36" s="19">
        <v>441</v>
      </c>
      <c r="P36" s="19">
        <v>58730</v>
      </c>
      <c r="Q36" s="19">
        <v>29548</v>
      </c>
    </row>
    <row r="37" customFormat="1" ht="22.5" customHeight="1" spans="1:17">
      <c r="A37" s="11" t="s">
        <v>161</v>
      </c>
      <c r="B37" s="12">
        <v>46096</v>
      </c>
      <c r="C37" s="18" t="str">
        <f t="shared" si="0"/>
        <v>Mar-2026</v>
      </c>
      <c r="D37" s="11" t="s">
        <v>197</v>
      </c>
      <c r="E37" s="11" t="s">
        <v>162</v>
      </c>
      <c r="F37" s="11">
        <v>28492</v>
      </c>
      <c r="G37" s="11" t="s">
        <v>163</v>
      </c>
      <c r="H37" s="11">
        <v>1</v>
      </c>
      <c r="I37" s="11">
        <v>0</v>
      </c>
      <c r="J37" s="11" t="b">
        <v>0</v>
      </c>
      <c r="K37" s="11" t="b">
        <v>0</v>
      </c>
      <c r="M37" s="19" t="s">
        <v>199</v>
      </c>
      <c r="N37" s="19"/>
      <c r="O37" s="19">
        <v>549</v>
      </c>
      <c r="P37" s="19">
        <v>60444</v>
      </c>
      <c r="Q37" s="19">
        <v>30087</v>
      </c>
    </row>
    <row r="38" customFormat="1" ht="22.5" customHeight="1" spans="1:17">
      <c r="A38" s="11" t="s">
        <v>156</v>
      </c>
      <c r="B38" s="12">
        <v>46096</v>
      </c>
      <c r="C38" s="18" t="str">
        <f t="shared" si="0"/>
        <v>Mar-2026</v>
      </c>
      <c r="D38" s="11" t="s">
        <v>200</v>
      </c>
      <c r="E38" s="11" t="s">
        <v>158</v>
      </c>
      <c r="F38" s="11">
        <v>55841</v>
      </c>
      <c r="G38" s="11" t="s">
        <v>201</v>
      </c>
      <c r="H38" s="11">
        <v>2</v>
      </c>
      <c r="I38" s="11">
        <v>0</v>
      </c>
      <c r="J38" s="11" t="b">
        <v>0</v>
      </c>
      <c r="K38" s="11" t="b">
        <v>0</v>
      </c>
      <c r="M38" s="17"/>
      <c r="N38" s="20">
        <v>46113</v>
      </c>
      <c r="O38" s="19">
        <v>449</v>
      </c>
      <c r="P38" s="19">
        <v>58847</v>
      </c>
      <c r="Q38" s="19">
        <v>29582</v>
      </c>
    </row>
    <row r="39" customFormat="1" ht="22.5" customHeight="1" spans="1:17">
      <c r="A39" s="11" t="s">
        <v>161</v>
      </c>
      <c r="B39" s="12">
        <v>46096</v>
      </c>
      <c r="C39" s="18" t="str">
        <f t="shared" si="0"/>
        <v>Mar-2026</v>
      </c>
      <c r="D39" s="11" t="s">
        <v>200</v>
      </c>
      <c r="E39" s="11" t="s">
        <v>162</v>
      </c>
      <c r="F39" s="11">
        <v>28495</v>
      </c>
      <c r="G39" s="11" t="s">
        <v>163</v>
      </c>
      <c r="H39" s="11">
        <v>1</v>
      </c>
      <c r="I39" s="11">
        <v>0</v>
      </c>
      <c r="J39" s="11" t="b">
        <v>0</v>
      </c>
      <c r="K39" s="11" t="b">
        <v>0</v>
      </c>
      <c r="M39" s="17"/>
      <c r="N39" s="20">
        <v>46114</v>
      </c>
      <c r="O39" s="19">
        <v>451</v>
      </c>
      <c r="P39" s="19">
        <v>59075</v>
      </c>
      <c r="Q39" s="19">
        <v>29598</v>
      </c>
    </row>
    <row r="40" customFormat="1" ht="22.5" customHeight="1" spans="1:17">
      <c r="A40" s="11" t="s">
        <v>156</v>
      </c>
      <c r="B40" s="12">
        <v>46096</v>
      </c>
      <c r="C40" s="18" t="str">
        <f t="shared" si="0"/>
        <v>Mar-2026</v>
      </c>
      <c r="D40" s="11" t="s">
        <v>202</v>
      </c>
      <c r="E40" s="11" t="s">
        <v>158</v>
      </c>
      <c r="F40" s="11">
        <v>55928</v>
      </c>
      <c r="G40" s="11" t="s">
        <v>203</v>
      </c>
      <c r="H40" s="11">
        <v>2</v>
      </c>
      <c r="I40" s="11">
        <v>0</v>
      </c>
      <c r="J40" s="11" t="b">
        <v>0</v>
      </c>
      <c r="K40" s="11" t="b">
        <v>0</v>
      </c>
      <c r="M40" s="17"/>
      <c r="N40" s="20">
        <v>46115</v>
      </c>
      <c r="O40" s="19">
        <v>454</v>
      </c>
      <c r="P40" s="19">
        <v>59193</v>
      </c>
      <c r="Q40" s="19">
        <v>29635</v>
      </c>
    </row>
    <row r="41" customFormat="1" ht="22.5" customHeight="1" spans="1:17">
      <c r="A41" s="11" t="s">
        <v>161</v>
      </c>
      <c r="B41" s="12">
        <v>46096</v>
      </c>
      <c r="C41" s="18" t="str">
        <f t="shared" si="0"/>
        <v>Mar-2026</v>
      </c>
      <c r="D41" s="11" t="s">
        <v>202</v>
      </c>
      <c r="E41" s="11" t="s">
        <v>162</v>
      </c>
      <c r="F41" s="11">
        <v>28495</v>
      </c>
      <c r="G41" s="11" t="s">
        <v>163</v>
      </c>
      <c r="H41" s="11">
        <v>1</v>
      </c>
      <c r="I41" s="11">
        <v>0</v>
      </c>
      <c r="J41" s="11" t="b">
        <v>0</v>
      </c>
      <c r="K41" s="11" t="b">
        <v>0</v>
      </c>
      <c r="M41" s="17"/>
      <c r="N41" s="20">
        <v>46116</v>
      </c>
      <c r="O41" s="19">
        <v>454</v>
      </c>
      <c r="P41" s="19">
        <v>59290</v>
      </c>
      <c r="Q41" s="19">
        <v>29654</v>
      </c>
    </row>
    <row r="42" customFormat="1" ht="22.5" customHeight="1" spans="1:17">
      <c r="A42" s="11" t="s">
        <v>156</v>
      </c>
      <c r="B42" s="12">
        <v>46096</v>
      </c>
      <c r="C42" s="18" t="str">
        <f t="shared" si="0"/>
        <v>Mar-2026</v>
      </c>
      <c r="D42" s="11" t="s">
        <v>204</v>
      </c>
      <c r="E42" s="11" t="s">
        <v>158</v>
      </c>
      <c r="F42" s="11">
        <v>55953</v>
      </c>
      <c r="G42" s="11" t="s">
        <v>205</v>
      </c>
      <c r="H42" s="11">
        <v>2</v>
      </c>
      <c r="I42" s="11">
        <v>0</v>
      </c>
      <c r="J42" s="11" t="b">
        <v>0</v>
      </c>
      <c r="K42" s="11" t="b">
        <v>0</v>
      </c>
      <c r="M42" s="17"/>
      <c r="N42" s="20">
        <v>46117</v>
      </c>
      <c r="O42" s="19">
        <v>455</v>
      </c>
      <c r="P42" s="19">
        <v>59385</v>
      </c>
      <c r="Q42" s="19">
        <v>29676</v>
      </c>
    </row>
    <row r="43" customFormat="1" ht="22.5" customHeight="1" spans="1:17">
      <c r="A43" s="11" t="s">
        <v>161</v>
      </c>
      <c r="B43" s="12">
        <v>46096</v>
      </c>
      <c r="C43" s="18" t="str">
        <f t="shared" si="0"/>
        <v>Mar-2026</v>
      </c>
      <c r="D43" s="11" t="s">
        <v>204</v>
      </c>
      <c r="E43" s="11" t="s">
        <v>162</v>
      </c>
      <c r="F43" s="11">
        <v>28497</v>
      </c>
      <c r="G43" s="11" t="s">
        <v>163</v>
      </c>
      <c r="H43" s="11">
        <v>1</v>
      </c>
      <c r="I43" s="11">
        <v>0</v>
      </c>
      <c r="J43" s="11" t="b">
        <v>0</v>
      </c>
      <c r="K43" s="11" t="b">
        <v>0</v>
      </c>
      <c r="M43" s="17"/>
      <c r="N43" s="20">
        <v>46118</v>
      </c>
      <c r="O43" s="19">
        <v>460</v>
      </c>
      <c r="P43" s="19">
        <v>59470</v>
      </c>
      <c r="Q43" s="19">
        <v>29774</v>
      </c>
    </row>
    <row r="44" customFormat="1" ht="22.5" customHeight="1" spans="1:17">
      <c r="A44" s="11" t="s">
        <v>156</v>
      </c>
      <c r="B44" s="12">
        <v>46096</v>
      </c>
      <c r="C44" s="18" t="str">
        <f t="shared" si="0"/>
        <v>Mar-2026</v>
      </c>
      <c r="D44" s="11" t="s">
        <v>206</v>
      </c>
      <c r="E44" s="11" t="s">
        <v>158</v>
      </c>
      <c r="F44" s="11">
        <v>55974</v>
      </c>
      <c r="G44" s="11" t="s">
        <v>207</v>
      </c>
      <c r="H44" s="11">
        <v>2</v>
      </c>
      <c r="I44" s="11">
        <v>0</v>
      </c>
      <c r="J44" s="11" t="b">
        <v>0</v>
      </c>
      <c r="K44" s="11" t="b">
        <v>0</v>
      </c>
      <c r="M44" s="17"/>
      <c r="N44" s="20">
        <v>46119</v>
      </c>
      <c r="O44" s="19">
        <v>493</v>
      </c>
      <c r="P44" s="19">
        <v>59713</v>
      </c>
      <c r="Q44" s="19">
        <v>29892</v>
      </c>
    </row>
    <row r="45" customFormat="1" ht="22.5" customHeight="1" spans="1:17">
      <c r="A45" s="11" t="s">
        <v>161</v>
      </c>
      <c r="B45" s="12">
        <v>46096</v>
      </c>
      <c r="C45" s="18" t="str">
        <f t="shared" si="0"/>
        <v>Mar-2026</v>
      </c>
      <c r="D45" s="11" t="s">
        <v>206</v>
      </c>
      <c r="E45" s="11" t="s">
        <v>162</v>
      </c>
      <c r="F45" s="11">
        <v>28497</v>
      </c>
      <c r="G45" s="11" t="s">
        <v>163</v>
      </c>
      <c r="H45" s="11">
        <v>1</v>
      </c>
      <c r="I45" s="11">
        <v>0</v>
      </c>
      <c r="J45" s="11" t="b">
        <v>0</v>
      </c>
      <c r="K45" s="11" t="b">
        <v>0</v>
      </c>
      <c r="M45" s="17"/>
      <c r="N45" s="20">
        <v>46120</v>
      </c>
      <c r="O45" s="19">
        <v>502</v>
      </c>
      <c r="P45" s="19">
        <v>60091</v>
      </c>
      <c r="Q45" s="19">
        <v>29948</v>
      </c>
    </row>
    <row r="46" customFormat="1" ht="22.5" customHeight="1" spans="1:17">
      <c r="A46" s="11" t="s">
        <v>156</v>
      </c>
      <c r="B46" s="12">
        <v>46096</v>
      </c>
      <c r="C46" s="18" t="str">
        <f t="shared" si="0"/>
        <v>Mar-2026</v>
      </c>
      <c r="D46" s="11" t="s">
        <v>208</v>
      </c>
      <c r="E46" s="11" t="s">
        <v>158</v>
      </c>
      <c r="F46" s="11">
        <v>55979</v>
      </c>
      <c r="G46" s="11" t="s">
        <v>209</v>
      </c>
      <c r="H46" s="11">
        <v>2</v>
      </c>
      <c r="I46" s="11">
        <v>0</v>
      </c>
      <c r="J46" s="11" t="b">
        <v>0</v>
      </c>
      <c r="K46" s="11" t="b">
        <v>0</v>
      </c>
      <c r="M46" s="17"/>
      <c r="N46" s="20">
        <v>46121</v>
      </c>
      <c r="O46" s="19">
        <v>509</v>
      </c>
      <c r="P46" s="19">
        <v>60146</v>
      </c>
      <c r="Q46" s="19">
        <v>30019</v>
      </c>
    </row>
    <row r="47" customFormat="1" ht="22.5" customHeight="1" spans="1:17">
      <c r="A47" s="11" t="s">
        <v>161</v>
      </c>
      <c r="B47" s="12">
        <v>46096</v>
      </c>
      <c r="C47" s="18" t="str">
        <f t="shared" si="0"/>
        <v>Mar-2026</v>
      </c>
      <c r="D47" s="11" t="s">
        <v>208</v>
      </c>
      <c r="E47" s="11" t="s">
        <v>162</v>
      </c>
      <c r="F47" s="11">
        <v>28497</v>
      </c>
      <c r="G47" s="11" t="s">
        <v>163</v>
      </c>
      <c r="H47" s="11">
        <v>1</v>
      </c>
      <c r="I47" s="11">
        <v>0</v>
      </c>
      <c r="J47" s="11" t="b">
        <v>0</v>
      </c>
      <c r="K47" s="11" t="b">
        <v>0</v>
      </c>
      <c r="M47" s="17"/>
      <c r="N47" s="20">
        <v>46122</v>
      </c>
      <c r="O47" s="19">
        <v>540</v>
      </c>
      <c r="P47" s="19">
        <v>60278</v>
      </c>
      <c r="Q47" s="19">
        <v>30058</v>
      </c>
    </row>
    <row r="48" customFormat="1" ht="22.5" customHeight="1" spans="1:17">
      <c r="A48" s="11" t="s">
        <v>156</v>
      </c>
      <c r="B48" s="12">
        <v>46097</v>
      </c>
      <c r="C48" s="18" t="str">
        <f t="shared" si="0"/>
        <v>Mar-2026</v>
      </c>
      <c r="D48" s="11" t="s">
        <v>210</v>
      </c>
      <c r="E48" s="11" t="s">
        <v>158</v>
      </c>
      <c r="F48" s="11">
        <v>56325</v>
      </c>
      <c r="G48" s="11" t="s">
        <v>211</v>
      </c>
      <c r="H48" s="11">
        <v>2</v>
      </c>
      <c r="I48" s="11">
        <v>0</v>
      </c>
      <c r="J48" s="11" t="b">
        <v>0</v>
      </c>
      <c r="K48" s="11" t="b">
        <v>0</v>
      </c>
      <c r="M48" s="17"/>
      <c r="N48" s="20">
        <v>46123</v>
      </c>
      <c r="O48" s="19">
        <v>549</v>
      </c>
      <c r="P48" s="19">
        <v>60444</v>
      </c>
      <c r="Q48" s="19">
        <v>30087</v>
      </c>
    </row>
    <row r="49" customFormat="1" ht="22.5" customHeight="1" spans="1:11">
      <c r="A49" s="11" t="s">
        <v>161</v>
      </c>
      <c r="B49" s="12">
        <v>46097</v>
      </c>
      <c r="C49" s="18" t="str">
        <f t="shared" si="0"/>
        <v>Mar-2026</v>
      </c>
      <c r="D49" s="11" t="s">
        <v>210</v>
      </c>
      <c r="E49" s="11" t="s">
        <v>162</v>
      </c>
      <c r="F49" s="11">
        <v>28522</v>
      </c>
      <c r="G49" s="11" t="s">
        <v>163</v>
      </c>
      <c r="H49" s="11">
        <v>1</v>
      </c>
      <c r="I49" s="11">
        <v>0</v>
      </c>
      <c r="J49" s="11" t="b">
        <v>0</v>
      </c>
      <c r="K49" s="11" t="b">
        <v>0</v>
      </c>
    </row>
    <row r="50" customFormat="1" ht="22.5" customHeight="1" spans="1:11">
      <c r="A50" s="11" t="s">
        <v>156</v>
      </c>
      <c r="B50" s="12">
        <v>46097</v>
      </c>
      <c r="C50" s="18" t="str">
        <f t="shared" si="0"/>
        <v>Mar-2026</v>
      </c>
      <c r="D50" s="11" t="s">
        <v>212</v>
      </c>
      <c r="E50" s="11" t="s">
        <v>158</v>
      </c>
      <c r="F50" s="11">
        <v>56566</v>
      </c>
      <c r="G50" s="11" t="s">
        <v>213</v>
      </c>
      <c r="H50" s="11">
        <v>2</v>
      </c>
      <c r="I50" s="11">
        <v>0</v>
      </c>
      <c r="J50" s="11" t="b">
        <v>0</v>
      </c>
      <c r="K50" s="11" t="b">
        <v>0</v>
      </c>
    </row>
    <row r="51" customFormat="1" ht="22.5" customHeight="1" spans="1:11">
      <c r="A51" s="11" t="s">
        <v>160</v>
      </c>
      <c r="B51" s="12">
        <v>46097</v>
      </c>
      <c r="C51" s="18" t="str">
        <f t="shared" si="0"/>
        <v>Mar-2026</v>
      </c>
      <c r="D51" s="11" t="s">
        <v>212</v>
      </c>
      <c r="E51" s="11" t="s">
        <v>214</v>
      </c>
      <c r="F51" s="11">
        <v>221</v>
      </c>
      <c r="G51" s="11" t="s">
        <v>215</v>
      </c>
      <c r="H51" s="11">
        <v>1</v>
      </c>
      <c r="I51" s="11">
        <v>0</v>
      </c>
      <c r="J51" s="11" t="b">
        <v>0</v>
      </c>
      <c r="K51" s="11" t="b">
        <v>0</v>
      </c>
    </row>
    <row r="52" customFormat="1" ht="22.5" customHeight="1" spans="1:11">
      <c r="A52" s="11" t="s">
        <v>156</v>
      </c>
      <c r="B52" s="12">
        <v>46098</v>
      </c>
      <c r="C52" s="18" t="str">
        <f t="shared" si="0"/>
        <v>Mar-2026</v>
      </c>
      <c r="D52" s="11" t="s">
        <v>216</v>
      </c>
      <c r="E52" s="11" t="s">
        <v>158</v>
      </c>
      <c r="F52" s="11">
        <v>56574</v>
      </c>
      <c r="G52" s="11" t="s">
        <v>217</v>
      </c>
      <c r="H52" s="11">
        <v>2</v>
      </c>
      <c r="I52" s="11">
        <v>0</v>
      </c>
      <c r="J52" s="11" t="b">
        <v>0</v>
      </c>
      <c r="K52" s="11" t="b">
        <v>0</v>
      </c>
    </row>
    <row r="53" customFormat="1" ht="22.5" customHeight="1" spans="1:11">
      <c r="A53" s="11" t="s">
        <v>161</v>
      </c>
      <c r="B53" s="12">
        <v>46098</v>
      </c>
      <c r="C53" s="18" t="str">
        <f t="shared" si="0"/>
        <v>Mar-2026</v>
      </c>
      <c r="D53" s="11" t="s">
        <v>216</v>
      </c>
      <c r="E53" s="11" t="s">
        <v>162</v>
      </c>
      <c r="F53" s="11">
        <v>28702</v>
      </c>
      <c r="G53" s="11" t="s">
        <v>218</v>
      </c>
      <c r="H53" s="11">
        <v>1</v>
      </c>
      <c r="I53" s="11">
        <v>0</v>
      </c>
      <c r="J53" s="11" t="b">
        <v>0</v>
      </c>
      <c r="K53" s="11" t="b">
        <v>0</v>
      </c>
    </row>
    <row r="54" customFormat="1" ht="22.5" customHeight="1" spans="1:11">
      <c r="A54" s="11" t="s">
        <v>160</v>
      </c>
      <c r="B54" s="12">
        <v>46098</v>
      </c>
      <c r="C54" s="18" t="str">
        <f t="shared" si="0"/>
        <v>Mar-2026</v>
      </c>
      <c r="D54" s="11" t="s">
        <v>216</v>
      </c>
      <c r="E54" s="11" t="s">
        <v>214</v>
      </c>
      <c r="F54" s="11">
        <v>221</v>
      </c>
      <c r="G54" s="11" t="s">
        <v>215</v>
      </c>
      <c r="H54" s="11">
        <v>1</v>
      </c>
      <c r="I54" s="11">
        <v>0</v>
      </c>
      <c r="J54" s="11" t="b">
        <v>0</v>
      </c>
      <c r="K54" s="11" t="b">
        <v>0</v>
      </c>
    </row>
    <row r="55" customFormat="1" ht="22.5" customHeight="1" spans="1:11">
      <c r="A55" s="11" t="s">
        <v>156</v>
      </c>
      <c r="B55" s="12">
        <v>46098</v>
      </c>
      <c r="C55" s="18" t="str">
        <f t="shared" si="0"/>
        <v>Mar-2026</v>
      </c>
      <c r="D55" s="11" t="s">
        <v>219</v>
      </c>
      <c r="E55" s="11" t="s">
        <v>158</v>
      </c>
      <c r="F55" s="11">
        <v>56663</v>
      </c>
      <c r="G55" s="11" t="s">
        <v>220</v>
      </c>
      <c r="H55" s="11">
        <v>2</v>
      </c>
      <c r="I55" s="11">
        <v>0</v>
      </c>
      <c r="J55" s="11" t="b">
        <v>0</v>
      </c>
      <c r="K55" s="11" t="b">
        <v>0</v>
      </c>
    </row>
    <row r="56" customFormat="1" ht="22.5" customHeight="1" spans="1:11">
      <c r="A56" s="11" t="s">
        <v>161</v>
      </c>
      <c r="B56" s="12">
        <v>46098</v>
      </c>
      <c r="C56" s="18" t="str">
        <f t="shared" si="0"/>
        <v>Mar-2026</v>
      </c>
      <c r="D56" s="11" t="s">
        <v>219</v>
      </c>
      <c r="E56" s="11" t="s">
        <v>162</v>
      </c>
      <c r="F56" s="11">
        <v>28714</v>
      </c>
      <c r="G56" s="11" t="s">
        <v>218</v>
      </c>
      <c r="H56" s="11">
        <v>1</v>
      </c>
      <c r="I56" s="11">
        <v>0</v>
      </c>
      <c r="J56" s="11" t="b">
        <v>0</v>
      </c>
      <c r="K56" s="11" t="b">
        <v>0</v>
      </c>
    </row>
    <row r="57" customFormat="1" ht="22.5" customHeight="1" spans="1:11">
      <c r="A57" s="11" t="s">
        <v>160</v>
      </c>
      <c r="B57" s="12">
        <v>46098</v>
      </c>
      <c r="C57" s="18" t="str">
        <f t="shared" si="0"/>
        <v>Mar-2026</v>
      </c>
      <c r="D57" s="11" t="s">
        <v>219</v>
      </c>
      <c r="E57" s="11" t="s">
        <v>214</v>
      </c>
      <c r="F57" s="11">
        <v>223</v>
      </c>
      <c r="G57" s="11" t="s">
        <v>215</v>
      </c>
      <c r="H57" s="11">
        <v>1</v>
      </c>
      <c r="I57" s="11">
        <v>0</v>
      </c>
      <c r="J57" s="11" t="b">
        <v>0</v>
      </c>
      <c r="K57" s="11" t="b">
        <v>0</v>
      </c>
    </row>
    <row r="58" customFormat="1" ht="22.5" customHeight="1" spans="1:11">
      <c r="A58" s="11" t="s">
        <v>156</v>
      </c>
      <c r="B58" s="12">
        <v>46099</v>
      </c>
      <c r="C58" s="18" t="str">
        <f t="shared" si="0"/>
        <v>Mar-2026</v>
      </c>
      <c r="D58" s="11" t="s">
        <v>221</v>
      </c>
      <c r="E58" s="11" t="s">
        <v>158</v>
      </c>
      <c r="F58" s="11">
        <v>56779</v>
      </c>
      <c r="G58" s="11" t="s">
        <v>222</v>
      </c>
      <c r="H58" s="11">
        <v>2</v>
      </c>
      <c r="I58" s="11">
        <v>0</v>
      </c>
      <c r="J58" s="11" t="b">
        <v>0</v>
      </c>
      <c r="K58" s="11" t="b">
        <v>0</v>
      </c>
    </row>
    <row r="59" customFormat="1" ht="22.5" customHeight="1" spans="1:11">
      <c r="A59" s="11" t="s">
        <v>161</v>
      </c>
      <c r="B59" s="12">
        <v>46099</v>
      </c>
      <c r="C59" s="18" t="str">
        <f t="shared" si="0"/>
        <v>Mar-2026</v>
      </c>
      <c r="D59" s="11" t="s">
        <v>221</v>
      </c>
      <c r="E59" s="11" t="s">
        <v>162</v>
      </c>
      <c r="F59" s="11">
        <v>28767</v>
      </c>
      <c r="G59" s="11" t="s">
        <v>218</v>
      </c>
      <c r="H59" s="11">
        <v>1</v>
      </c>
      <c r="I59" s="11">
        <v>0</v>
      </c>
      <c r="J59" s="11" t="b">
        <v>0</v>
      </c>
      <c r="K59" s="11" t="b">
        <v>0</v>
      </c>
    </row>
    <row r="60" customFormat="1" ht="22.5" customHeight="1" spans="1:11">
      <c r="A60" s="11" t="s">
        <v>160</v>
      </c>
      <c r="B60" s="12">
        <v>46099</v>
      </c>
      <c r="C60" s="18" t="str">
        <f t="shared" si="0"/>
        <v>Mar-2026</v>
      </c>
      <c r="D60" s="11" t="s">
        <v>221</v>
      </c>
      <c r="E60" s="11" t="s">
        <v>214</v>
      </c>
      <c r="F60" s="11">
        <v>258</v>
      </c>
      <c r="G60" s="11" t="s">
        <v>215</v>
      </c>
      <c r="H60" s="11">
        <v>1</v>
      </c>
      <c r="I60" s="11">
        <v>0</v>
      </c>
      <c r="J60" s="11" t="b">
        <v>0</v>
      </c>
      <c r="K60" s="11" t="b">
        <v>0</v>
      </c>
    </row>
    <row r="61" customFormat="1" ht="22.5" customHeight="1" spans="1:11">
      <c r="A61" s="11" t="s">
        <v>156</v>
      </c>
      <c r="B61" s="12">
        <v>46099</v>
      </c>
      <c r="C61" s="18" t="str">
        <f t="shared" si="0"/>
        <v>Mar-2026</v>
      </c>
      <c r="D61" s="11" t="s">
        <v>223</v>
      </c>
      <c r="E61" s="11" t="s">
        <v>158</v>
      </c>
      <c r="F61" s="11">
        <v>56877</v>
      </c>
      <c r="G61" s="11" t="s">
        <v>224</v>
      </c>
      <c r="H61" s="11">
        <v>2</v>
      </c>
      <c r="I61" s="11">
        <v>0</v>
      </c>
      <c r="J61" s="11" t="b">
        <v>0</v>
      </c>
      <c r="K61" s="11" t="b">
        <v>0</v>
      </c>
    </row>
    <row r="62" customFormat="1" ht="22.5" customHeight="1" spans="1:11">
      <c r="A62" s="11" t="s">
        <v>161</v>
      </c>
      <c r="B62" s="12">
        <v>46099</v>
      </c>
      <c r="C62" s="18" t="str">
        <f t="shared" si="0"/>
        <v>Mar-2026</v>
      </c>
      <c r="D62" s="11" t="s">
        <v>223</v>
      </c>
      <c r="E62" s="11" t="s">
        <v>162</v>
      </c>
      <c r="F62" s="11">
        <v>28798</v>
      </c>
      <c r="G62" s="11" t="s">
        <v>218</v>
      </c>
      <c r="H62" s="11">
        <v>1</v>
      </c>
      <c r="I62" s="11">
        <v>0</v>
      </c>
      <c r="J62" s="11" t="b">
        <v>0</v>
      </c>
      <c r="K62" s="11" t="b">
        <v>0</v>
      </c>
    </row>
    <row r="63" customFormat="1" ht="22.5" customHeight="1" spans="1:11">
      <c r="A63" s="11" t="s">
        <v>160</v>
      </c>
      <c r="B63" s="12">
        <v>46099</v>
      </c>
      <c r="C63" s="18" t="str">
        <f t="shared" si="0"/>
        <v>Mar-2026</v>
      </c>
      <c r="D63" s="11" t="s">
        <v>223</v>
      </c>
      <c r="E63" s="11" t="s">
        <v>214</v>
      </c>
      <c r="F63" s="11">
        <v>260</v>
      </c>
      <c r="G63" s="11" t="s">
        <v>215</v>
      </c>
      <c r="H63" s="11">
        <v>1</v>
      </c>
      <c r="I63" s="11">
        <v>0</v>
      </c>
      <c r="J63" s="11" t="b">
        <v>0</v>
      </c>
      <c r="K63" s="11" t="b">
        <v>0</v>
      </c>
    </row>
    <row r="64" customFormat="1" ht="22.5" customHeight="1" spans="1:11">
      <c r="A64" s="11" t="s">
        <v>156</v>
      </c>
      <c r="B64" s="12">
        <v>46100</v>
      </c>
      <c r="C64" s="18" t="str">
        <f t="shared" si="0"/>
        <v>Mar-2026</v>
      </c>
      <c r="D64" s="11" t="s">
        <v>225</v>
      </c>
      <c r="E64" s="11" t="s">
        <v>158</v>
      </c>
      <c r="F64" s="11">
        <v>56938</v>
      </c>
      <c r="G64" s="11" t="s">
        <v>226</v>
      </c>
      <c r="H64" s="11">
        <v>2</v>
      </c>
      <c r="I64" s="11">
        <v>0</v>
      </c>
      <c r="J64" s="11" t="b">
        <v>0</v>
      </c>
      <c r="K64" s="11" t="b">
        <v>0</v>
      </c>
    </row>
    <row r="65" customFormat="1" ht="22.5" customHeight="1" spans="1:11">
      <c r="A65" s="11" t="s">
        <v>161</v>
      </c>
      <c r="B65" s="12">
        <v>46100</v>
      </c>
      <c r="C65" s="18" t="str">
        <f t="shared" si="0"/>
        <v>Mar-2026</v>
      </c>
      <c r="D65" s="11" t="s">
        <v>225</v>
      </c>
      <c r="E65" s="11" t="s">
        <v>162</v>
      </c>
      <c r="F65" s="11">
        <v>28817</v>
      </c>
      <c r="G65" s="11" t="s">
        <v>218</v>
      </c>
      <c r="H65" s="11">
        <v>1</v>
      </c>
      <c r="I65" s="11">
        <v>0</v>
      </c>
      <c r="J65" s="11" t="b">
        <v>0</v>
      </c>
      <c r="K65" s="11" t="b">
        <v>0</v>
      </c>
    </row>
    <row r="66" customFormat="1" ht="22.5" customHeight="1" spans="1:11">
      <c r="A66" s="11" t="s">
        <v>160</v>
      </c>
      <c r="B66" s="12">
        <v>46100</v>
      </c>
      <c r="C66" s="18" t="str">
        <f t="shared" ref="C66:C99" si="1">TEXT(B66,"MMM-YYYY")</f>
        <v>Mar-2026</v>
      </c>
      <c r="D66" s="11" t="s">
        <v>225</v>
      </c>
      <c r="E66" s="11" t="s">
        <v>214</v>
      </c>
      <c r="F66" s="11">
        <v>263</v>
      </c>
      <c r="G66" s="11" t="s">
        <v>215</v>
      </c>
      <c r="H66" s="11">
        <v>1</v>
      </c>
      <c r="I66" s="11">
        <v>0</v>
      </c>
      <c r="J66" s="11" t="b">
        <v>0</v>
      </c>
      <c r="K66" s="11" t="b">
        <v>0</v>
      </c>
    </row>
    <row r="67" customFormat="1" ht="22.5" customHeight="1" spans="1:11">
      <c r="A67" s="11" t="s">
        <v>156</v>
      </c>
      <c r="B67" s="12">
        <v>46100</v>
      </c>
      <c r="C67" s="18" t="str">
        <f t="shared" si="1"/>
        <v>Mar-2026</v>
      </c>
      <c r="D67" s="11" t="s">
        <v>227</v>
      </c>
      <c r="E67" s="11" t="s">
        <v>158</v>
      </c>
      <c r="F67" s="11">
        <v>57023</v>
      </c>
      <c r="G67" s="11" t="s">
        <v>228</v>
      </c>
      <c r="H67" s="11">
        <v>2</v>
      </c>
      <c r="I67" s="11">
        <v>0</v>
      </c>
      <c r="J67" s="11" t="b">
        <v>0</v>
      </c>
      <c r="K67" s="11" t="b">
        <v>0</v>
      </c>
    </row>
    <row r="68" customFormat="1" ht="22.5" customHeight="1" spans="1:11">
      <c r="A68" s="11" t="s">
        <v>161</v>
      </c>
      <c r="B68" s="12">
        <v>46100</v>
      </c>
      <c r="C68" s="18" t="str">
        <f t="shared" si="1"/>
        <v>Mar-2026</v>
      </c>
      <c r="D68" s="11" t="s">
        <v>227</v>
      </c>
      <c r="E68" s="11" t="s">
        <v>162</v>
      </c>
      <c r="F68" s="11">
        <v>28847</v>
      </c>
      <c r="G68" s="11" t="s">
        <v>218</v>
      </c>
      <c r="H68" s="11">
        <v>1</v>
      </c>
      <c r="I68" s="11">
        <v>0</v>
      </c>
      <c r="J68" s="11" t="b">
        <v>0</v>
      </c>
      <c r="K68" s="11" t="b">
        <v>0</v>
      </c>
    </row>
    <row r="69" customFormat="1" ht="22.5" customHeight="1" spans="1:11">
      <c r="A69" s="11" t="s">
        <v>160</v>
      </c>
      <c r="B69" s="12">
        <v>46100</v>
      </c>
      <c r="C69" s="18" t="str">
        <f t="shared" si="1"/>
        <v>Mar-2026</v>
      </c>
      <c r="D69" s="11" t="s">
        <v>227</v>
      </c>
      <c r="E69" s="11" t="s">
        <v>214</v>
      </c>
      <c r="F69" s="11">
        <v>267</v>
      </c>
      <c r="G69" s="11" t="s">
        <v>215</v>
      </c>
      <c r="H69" s="11">
        <v>1</v>
      </c>
      <c r="I69" s="11">
        <v>0</v>
      </c>
      <c r="J69" s="11" t="b">
        <v>0</v>
      </c>
      <c r="K69" s="11" t="b">
        <v>0</v>
      </c>
    </row>
    <row r="70" customFormat="1" ht="22.5" customHeight="1" spans="1:11">
      <c r="A70" s="11" t="s">
        <v>156</v>
      </c>
      <c r="B70" s="12">
        <v>46101</v>
      </c>
      <c r="C70" s="18" t="str">
        <f t="shared" si="1"/>
        <v>Mar-2026</v>
      </c>
      <c r="D70" s="11" t="s">
        <v>229</v>
      </c>
      <c r="E70" s="11" t="s">
        <v>158</v>
      </c>
      <c r="F70" s="11">
        <v>57049</v>
      </c>
      <c r="G70" s="11" t="s">
        <v>230</v>
      </c>
      <c r="H70" s="11">
        <v>2</v>
      </c>
      <c r="I70" s="11">
        <v>0</v>
      </c>
      <c r="J70" s="11" t="b">
        <v>0</v>
      </c>
      <c r="K70" s="11" t="b">
        <v>0</v>
      </c>
    </row>
    <row r="71" customFormat="1" ht="22.5" customHeight="1" spans="1:11">
      <c r="A71" s="11" t="s">
        <v>161</v>
      </c>
      <c r="B71" s="12">
        <v>46101</v>
      </c>
      <c r="C71" s="18" t="str">
        <f t="shared" si="1"/>
        <v>Mar-2026</v>
      </c>
      <c r="D71" s="11" t="s">
        <v>229</v>
      </c>
      <c r="E71" s="11" t="s">
        <v>162</v>
      </c>
      <c r="F71" s="11">
        <v>28856</v>
      </c>
      <c r="G71" s="11" t="s">
        <v>218</v>
      </c>
      <c r="H71" s="11">
        <v>1</v>
      </c>
      <c r="I71" s="11">
        <v>0</v>
      </c>
      <c r="J71" s="11" t="b">
        <v>0</v>
      </c>
      <c r="K71" s="11" t="b">
        <v>0</v>
      </c>
    </row>
    <row r="72" customFormat="1" ht="22.5" customHeight="1" spans="1:11">
      <c r="A72" s="11" t="s">
        <v>160</v>
      </c>
      <c r="B72" s="12">
        <v>46101</v>
      </c>
      <c r="C72" s="18" t="str">
        <f t="shared" si="1"/>
        <v>Mar-2026</v>
      </c>
      <c r="D72" s="11" t="s">
        <v>229</v>
      </c>
      <c r="E72" s="11" t="s">
        <v>214</v>
      </c>
      <c r="F72" s="11">
        <v>269</v>
      </c>
      <c r="G72" s="11" t="s">
        <v>215</v>
      </c>
      <c r="H72" s="11">
        <v>1</v>
      </c>
      <c r="I72" s="11">
        <v>0</v>
      </c>
      <c r="J72" s="11" t="b">
        <v>0</v>
      </c>
      <c r="K72" s="11" t="b">
        <v>0</v>
      </c>
    </row>
    <row r="73" customFormat="1" ht="22.5" customHeight="1" spans="1:11">
      <c r="A73" s="11" t="s">
        <v>156</v>
      </c>
      <c r="B73" s="12">
        <v>46102</v>
      </c>
      <c r="C73" s="18" t="str">
        <f t="shared" si="1"/>
        <v>Mar-2026</v>
      </c>
      <c r="D73" s="11" t="s">
        <v>231</v>
      </c>
      <c r="E73" s="11" t="s">
        <v>158</v>
      </c>
      <c r="F73" s="11">
        <v>57144</v>
      </c>
      <c r="G73" s="11" t="s">
        <v>232</v>
      </c>
      <c r="H73" s="11">
        <v>2</v>
      </c>
      <c r="I73" s="11">
        <v>0</v>
      </c>
      <c r="J73" s="11" t="b">
        <v>0</v>
      </c>
      <c r="K73" s="11" t="b">
        <v>0</v>
      </c>
    </row>
    <row r="74" customFormat="1" ht="22.5" customHeight="1" spans="1:11">
      <c r="A74" s="11" t="s">
        <v>161</v>
      </c>
      <c r="B74" s="12">
        <v>46102</v>
      </c>
      <c r="C74" s="18" t="str">
        <f t="shared" si="1"/>
        <v>Mar-2026</v>
      </c>
      <c r="D74" s="11" t="s">
        <v>231</v>
      </c>
      <c r="E74" s="11" t="s">
        <v>162</v>
      </c>
      <c r="F74" s="11">
        <v>28883</v>
      </c>
      <c r="G74" s="11" t="s">
        <v>218</v>
      </c>
      <c r="H74" s="11">
        <v>1</v>
      </c>
      <c r="I74" s="11">
        <v>0</v>
      </c>
      <c r="J74" s="11" t="b">
        <v>0</v>
      </c>
      <c r="K74" s="11" t="b">
        <v>0</v>
      </c>
    </row>
    <row r="75" customFormat="1" ht="22.5" customHeight="1" spans="1:11">
      <c r="A75" s="11" t="s">
        <v>160</v>
      </c>
      <c r="B75" s="12">
        <v>46102</v>
      </c>
      <c r="C75" s="18" t="str">
        <f t="shared" si="1"/>
        <v>Mar-2026</v>
      </c>
      <c r="D75" s="11" t="s">
        <v>231</v>
      </c>
      <c r="E75" s="11" t="s">
        <v>214</v>
      </c>
      <c r="F75" s="11">
        <v>279</v>
      </c>
      <c r="G75" s="11" t="s">
        <v>215</v>
      </c>
      <c r="H75" s="11">
        <v>1</v>
      </c>
      <c r="I75" s="11">
        <v>0</v>
      </c>
      <c r="J75" s="11" t="b">
        <v>0</v>
      </c>
      <c r="K75" s="11" t="b">
        <v>0</v>
      </c>
    </row>
    <row r="76" customFormat="1" ht="22.5" customHeight="1" spans="1:11">
      <c r="A76" s="11" t="s">
        <v>156</v>
      </c>
      <c r="B76" s="12">
        <v>46103</v>
      </c>
      <c r="C76" s="18" t="str">
        <f t="shared" si="1"/>
        <v>Mar-2026</v>
      </c>
      <c r="D76" s="11" t="s">
        <v>233</v>
      </c>
      <c r="E76" s="11" t="s">
        <v>158</v>
      </c>
      <c r="F76" s="11">
        <v>57257</v>
      </c>
      <c r="G76" s="11" t="s">
        <v>234</v>
      </c>
      <c r="H76" s="11">
        <v>2</v>
      </c>
      <c r="I76" s="11">
        <v>0</v>
      </c>
      <c r="J76" s="11" t="b">
        <v>0</v>
      </c>
      <c r="K76" s="11" t="b">
        <v>0</v>
      </c>
    </row>
    <row r="77" customFormat="1" ht="22.5" customHeight="1" spans="1:11">
      <c r="A77" s="11" t="s">
        <v>161</v>
      </c>
      <c r="B77" s="12">
        <v>46103</v>
      </c>
      <c r="C77" s="18" t="str">
        <f t="shared" si="1"/>
        <v>Mar-2026</v>
      </c>
      <c r="D77" s="11" t="s">
        <v>233</v>
      </c>
      <c r="E77" s="11" t="s">
        <v>162</v>
      </c>
      <c r="F77" s="11">
        <v>28912</v>
      </c>
      <c r="G77" s="11" t="s">
        <v>218</v>
      </c>
      <c r="H77" s="11">
        <v>1</v>
      </c>
      <c r="I77" s="11">
        <v>0</v>
      </c>
      <c r="J77" s="11" t="b">
        <v>0</v>
      </c>
      <c r="K77" s="11" t="b">
        <v>0</v>
      </c>
    </row>
    <row r="78" customFormat="1" ht="22.5" customHeight="1" spans="1:11">
      <c r="A78" s="11" t="s">
        <v>160</v>
      </c>
      <c r="B78" s="12">
        <v>46103</v>
      </c>
      <c r="C78" s="18" t="str">
        <f t="shared" si="1"/>
        <v>Mar-2026</v>
      </c>
      <c r="D78" s="11" t="s">
        <v>233</v>
      </c>
      <c r="E78" s="11" t="s">
        <v>214</v>
      </c>
      <c r="F78" s="11">
        <v>331</v>
      </c>
      <c r="G78" s="11" t="s">
        <v>235</v>
      </c>
      <c r="H78" s="11">
        <v>1</v>
      </c>
      <c r="I78" s="11">
        <v>0</v>
      </c>
      <c r="J78" s="11" t="b">
        <v>0</v>
      </c>
      <c r="K78" s="11" t="b">
        <v>0</v>
      </c>
    </row>
    <row r="79" customFormat="1" ht="22.5" customHeight="1" spans="1:11">
      <c r="A79" s="11" t="s">
        <v>156</v>
      </c>
      <c r="B79" s="12">
        <v>46104</v>
      </c>
      <c r="C79" s="18" t="str">
        <f t="shared" si="1"/>
        <v>Mar-2026</v>
      </c>
      <c r="D79" s="11" t="s">
        <v>236</v>
      </c>
      <c r="E79" s="11" t="s">
        <v>158</v>
      </c>
      <c r="F79" s="11">
        <v>57440</v>
      </c>
      <c r="G79" s="11" t="s">
        <v>237</v>
      </c>
      <c r="H79" s="11">
        <v>2</v>
      </c>
      <c r="I79" s="11">
        <v>0</v>
      </c>
      <c r="J79" s="11" t="b">
        <v>0</v>
      </c>
      <c r="K79" s="11" t="b">
        <v>0</v>
      </c>
    </row>
    <row r="80" customFormat="1" ht="22.5" customHeight="1" spans="1:11">
      <c r="A80" s="11" t="s">
        <v>161</v>
      </c>
      <c r="B80" s="12">
        <v>46104</v>
      </c>
      <c r="C80" s="18" t="str">
        <f t="shared" si="1"/>
        <v>Mar-2026</v>
      </c>
      <c r="D80" s="11" t="s">
        <v>236</v>
      </c>
      <c r="E80" s="11" t="s">
        <v>162</v>
      </c>
      <c r="F80" s="11">
        <v>28940</v>
      </c>
      <c r="G80" s="11" t="s">
        <v>218</v>
      </c>
      <c r="H80" s="11">
        <v>1</v>
      </c>
      <c r="I80" s="11">
        <v>0</v>
      </c>
      <c r="J80" s="11" t="b">
        <v>0</v>
      </c>
      <c r="K80" s="11" t="b">
        <v>0</v>
      </c>
    </row>
    <row r="81" customFormat="1" ht="22.5" customHeight="1" spans="1:11">
      <c r="A81" s="11" t="s">
        <v>160</v>
      </c>
      <c r="B81" s="12">
        <v>46104</v>
      </c>
      <c r="C81" s="18" t="str">
        <f t="shared" si="1"/>
        <v>Mar-2026</v>
      </c>
      <c r="D81" s="11" t="s">
        <v>236</v>
      </c>
      <c r="E81" s="11" t="s">
        <v>214</v>
      </c>
      <c r="F81" s="11">
        <v>336</v>
      </c>
      <c r="G81" s="11" t="s">
        <v>235</v>
      </c>
      <c r="H81" s="11">
        <v>1</v>
      </c>
      <c r="I81" s="11">
        <v>0</v>
      </c>
      <c r="J81" s="11" t="b">
        <v>0</v>
      </c>
      <c r="K81" s="11" t="b">
        <v>0</v>
      </c>
    </row>
    <row r="82" customFormat="1" ht="22.5" customHeight="1" spans="1:11">
      <c r="A82" s="11" t="s">
        <v>156</v>
      </c>
      <c r="B82" s="12">
        <v>46105</v>
      </c>
      <c r="C82" s="18" t="str">
        <f t="shared" si="1"/>
        <v>Mar-2026</v>
      </c>
      <c r="D82" s="11" t="s">
        <v>238</v>
      </c>
      <c r="E82" s="11" t="s">
        <v>158</v>
      </c>
      <c r="F82" s="11">
        <v>57604</v>
      </c>
      <c r="G82" s="11" t="s">
        <v>239</v>
      </c>
      <c r="H82" s="11">
        <v>2</v>
      </c>
      <c r="I82" s="11">
        <v>0</v>
      </c>
      <c r="J82" s="11" t="b">
        <v>0</v>
      </c>
      <c r="K82" s="11" t="b">
        <v>0</v>
      </c>
    </row>
    <row r="83" customFormat="1" ht="22.5" customHeight="1" spans="1:11">
      <c r="A83" s="11" t="s">
        <v>161</v>
      </c>
      <c r="B83" s="12">
        <v>46105</v>
      </c>
      <c r="C83" s="18" t="str">
        <f t="shared" si="1"/>
        <v>Mar-2026</v>
      </c>
      <c r="D83" s="11" t="s">
        <v>238</v>
      </c>
      <c r="E83" s="11" t="s">
        <v>162</v>
      </c>
      <c r="F83" s="11">
        <v>29065</v>
      </c>
      <c r="G83" s="11" t="s">
        <v>240</v>
      </c>
      <c r="H83" s="11">
        <v>1</v>
      </c>
      <c r="I83" s="11">
        <v>0</v>
      </c>
      <c r="J83" s="11" t="b">
        <v>0</v>
      </c>
      <c r="K83" s="11" t="b">
        <v>0</v>
      </c>
    </row>
    <row r="84" customFormat="1" ht="22.5" customHeight="1" spans="1:11">
      <c r="A84" s="11" t="s">
        <v>160</v>
      </c>
      <c r="B84" s="12">
        <v>46105</v>
      </c>
      <c r="C84" s="18" t="str">
        <f t="shared" si="1"/>
        <v>Mar-2026</v>
      </c>
      <c r="D84" s="11" t="s">
        <v>238</v>
      </c>
      <c r="E84" s="11" t="s">
        <v>214</v>
      </c>
      <c r="F84" s="11">
        <v>383</v>
      </c>
      <c r="G84" s="11" t="s">
        <v>241</v>
      </c>
      <c r="H84" s="11">
        <v>1</v>
      </c>
      <c r="I84" s="11">
        <v>0</v>
      </c>
      <c r="J84" s="11" t="b">
        <v>0</v>
      </c>
      <c r="K84" s="11" t="b">
        <v>0</v>
      </c>
    </row>
    <row r="85" customFormat="1" ht="22.5" customHeight="1" spans="1:11">
      <c r="A85" s="11" t="s">
        <v>156</v>
      </c>
      <c r="B85" s="12">
        <v>46106</v>
      </c>
      <c r="C85" s="18" t="str">
        <f t="shared" si="1"/>
        <v>Mar-2026</v>
      </c>
      <c r="D85" s="11" t="s">
        <v>242</v>
      </c>
      <c r="E85" s="11" t="s">
        <v>158</v>
      </c>
      <c r="F85" s="11">
        <v>57711</v>
      </c>
      <c r="G85" s="11" t="s">
        <v>243</v>
      </c>
      <c r="H85" s="11">
        <v>2</v>
      </c>
      <c r="I85" s="11">
        <v>0</v>
      </c>
      <c r="J85" s="11" t="b">
        <v>0</v>
      </c>
      <c r="K85" s="11" t="b">
        <v>0</v>
      </c>
    </row>
    <row r="86" customFormat="1" ht="22.5" customHeight="1" spans="1:11">
      <c r="A86" s="11" t="s">
        <v>161</v>
      </c>
      <c r="B86" s="12">
        <v>46106</v>
      </c>
      <c r="C86" s="18" t="str">
        <f t="shared" si="1"/>
        <v>Mar-2026</v>
      </c>
      <c r="D86" s="11" t="s">
        <v>242</v>
      </c>
      <c r="E86" s="11" t="s">
        <v>162</v>
      </c>
      <c r="F86" s="11">
        <v>29098</v>
      </c>
      <c r="G86" s="11" t="s">
        <v>240</v>
      </c>
      <c r="H86" s="11">
        <v>1</v>
      </c>
      <c r="I86" s="11">
        <v>0</v>
      </c>
      <c r="J86" s="11" t="b">
        <v>0</v>
      </c>
      <c r="K86" s="11" t="b">
        <v>0</v>
      </c>
    </row>
    <row r="87" customFormat="1" ht="22.5" customHeight="1" spans="1:11">
      <c r="A87" s="11" t="s">
        <v>160</v>
      </c>
      <c r="B87" s="12">
        <v>46106</v>
      </c>
      <c r="C87" s="18" t="str">
        <f t="shared" si="1"/>
        <v>Mar-2026</v>
      </c>
      <c r="D87" s="11" t="s">
        <v>242</v>
      </c>
      <c r="E87" s="11" t="s">
        <v>214</v>
      </c>
      <c r="F87" s="11">
        <v>400</v>
      </c>
      <c r="G87" s="11" t="s">
        <v>241</v>
      </c>
      <c r="H87" s="11">
        <v>1</v>
      </c>
      <c r="I87" s="11">
        <v>0</v>
      </c>
      <c r="J87" s="11" t="b">
        <v>0</v>
      </c>
      <c r="K87" s="11" t="b">
        <v>0</v>
      </c>
    </row>
    <row r="88" customFormat="1" ht="22.5" customHeight="1" spans="1:11">
      <c r="A88" s="11" t="s">
        <v>156</v>
      </c>
      <c r="B88" s="12">
        <v>46107</v>
      </c>
      <c r="C88" s="18" t="str">
        <f t="shared" si="1"/>
        <v>Mar-2026</v>
      </c>
      <c r="D88" s="11" t="s">
        <v>244</v>
      </c>
      <c r="E88" s="11" t="s">
        <v>158</v>
      </c>
      <c r="F88" s="11">
        <v>57833</v>
      </c>
      <c r="G88" s="11" t="s">
        <v>245</v>
      </c>
      <c r="H88" s="11">
        <v>2</v>
      </c>
      <c r="I88" s="11">
        <v>0</v>
      </c>
      <c r="J88" s="11" t="b">
        <v>0</v>
      </c>
      <c r="K88" s="11" t="b">
        <v>0</v>
      </c>
    </row>
    <row r="89" customFormat="1" ht="22.5" customHeight="1" spans="1:11">
      <c r="A89" s="11" t="s">
        <v>161</v>
      </c>
      <c r="B89" s="12">
        <v>46107</v>
      </c>
      <c r="C89" s="18" t="str">
        <f t="shared" si="1"/>
        <v>Mar-2026</v>
      </c>
      <c r="D89" s="11" t="s">
        <v>244</v>
      </c>
      <c r="E89" s="11" t="s">
        <v>162</v>
      </c>
      <c r="F89" s="11">
        <v>29111</v>
      </c>
      <c r="G89" s="11" t="s">
        <v>240</v>
      </c>
      <c r="H89" s="11">
        <v>1</v>
      </c>
      <c r="I89" s="11">
        <v>0</v>
      </c>
      <c r="J89" s="11" t="b">
        <v>0</v>
      </c>
      <c r="K89" s="11" t="b">
        <v>0</v>
      </c>
    </row>
    <row r="90" customFormat="1" ht="22.5" customHeight="1" spans="1:11">
      <c r="A90" s="11" t="s">
        <v>160</v>
      </c>
      <c r="B90" s="12">
        <v>46107</v>
      </c>
      <c r="C90" s="18" t="str">
        <f t="shared" si="1"/>
        <v>Mar-2026</v>
      </c>
      <c r="D90" s="11" t="s">
        <v>244</v>
      </c>
      <c r="E90" s="11" t="s">
        <v>214</v>
      </c>
      <c r="F90" s="11">
        <v>403</v>
      </c>
      <c r="G90" s="11" t="s">
        <v>241</v>
      </c>
      <c r="H90" s="11">
        <v>1</v>
      </c>
      <c r="I90" s="11">
        <v>0</v>
      </c>
      <c r="J90" s="11" t="b">
        <v>0</v>
      </c>
      <c r="K90" s="11" t="b">
        <v>0</v>
      </c>
    </row>
    <row r="91" customFormat="1" ht="22.5" customHeight="1" spans="1:11">
      <c r="A91" s="11" t="s">
        <v>156</v>
      </c>
      <c r="B91" s="12">
        <v>46107</v>
      </c>
      <c r="C91" s="18" t="str">
        <f t="shared" si="1"/>
        <v>Mar-2026</v>
      </c>
      <c r="D91" s="11" t="s">
        <v>246</v>
      </c>
      <c r="E91" s="11" t="s">
        <v>158</v>
      </c>
      <c r="F91" s="11">
        <v>57891</v>
      </c>
      <c r="G91" s="11" t="s">
        <v>247</v>
      </c>
      <c r="H91" s="11">
        <v>2</v>
      </c>
      <c r="I91" s="11">
        <v>0</v>
      </c>
      <c r="J91" s="11" t="b">
        <v>0</v>
      </c>
      <c r="K91" s="11" t="b">
        <v>0</v>
      </c>
    </row>
    <row r="92" customFormat="1" ht="22.5" customHeight="1" spans="1:11">
      <c r="A92" s="11" t="s">
        <v>161</v>
      </c>
      <c r="B92" s="12">
        <v>46107</v>
      </c>
      <c r="C92" s="18" t="str">
        <f t="shared" si="1"/>
        <v>Mar-2026</v>
      </c>
      <c r="D92" s="11" t="s">
        <v>246</v>
      </c>
      <c r="E92" s="11" t="s">
        <v>162</v>
      </c>
      <c r="F92" s="11">
        <v>29112</v>
      </c>
      <c r="G92" s="11" t="s">
        <v>240</v>
      </c>
      <c r="H92" s="11">
        <v>1</v>
      </c>
      <c r="I92" s="11">
        <v>0</v>
      </c>
      <c r="J92" s="11" t="b">
        <v>0</v>
      </c>
      <c r="K92" s="11" t="b">
        <v>0</v>
      </c>
    </row>
    <row r="93" customFormat="1" ht="22.5" customHeight="1" spans="1:11">
      <c r="A93" s="11" t="s">
        <v>160</v>
      </c>
      <c r="B93" s="12">
        <v>46107</v>
      </c>
      <c r="C93" s="18" t="str">
        <f t="shared" si="1"/>
        <v>Mar-2026</v>
      </c>
      <c r="D93" s="11" t="s">
        <v>246</v>
      </c>
      <c r="E93" s="11" t="s">
        <v>214</v>
      </c>
      <c r="F93" s="11">
        <v>403</v>
      </c>
      <c r="G93" s="11" t="s">
        <v>241</v>
      </c>
      <c r="H93" s="11">
        <v>1</v>
      </c>
      <c r="I93" s="11">
        <v>0</v>
      </c>
      <c r="J93" s="11" t="b">
        <v>0</v>
      </c>
      <c r="K93" s="11" t="b">
        <v>0</v>
      </c>
    </row>
    <row r="94" customFormat="1" ht="22.5" customHeight="1" spans="1:11">
      <c r="A94" s="11" t="s">
        <v>156</v>
      </c>
      <c r="B94" s="12">
        <v>46108</v>
      </c>
      <c r="C94" s="18" t="str">
        <f t="shared" si="1"/>
        <v>Mar-2026</v>
      </c>
      <c r="D94" s="11" t="s">
        <v>248</v>
      </c>
      <c r="E94" s="11" t="s">
        <v>158</v>
      </c>
      <c r="F94" s="11">
        <v>57982</v>
      </c>
      <c r="G94" s="11" t="s">
        <v>249</v>
      </c>
      <c r="H94" s="11">
        <v>2</v>
      </c>
      <c r="I94" s="11">
        <v>0</v>
      </c>
      <c r="J94" s="11" t="b">
        <v>0</v>
      </c>
      <c r="K94" s="11" t="b">
        <v>0</v>
      </c>
    </row>
    <row r="95" customFormat="1" ht="22.5" customHeight="1" spans="1:11">
      <c r="A95" s="11" t="s">
        <v>161</v>
      </c>
      <c r="B95" s="12">
        <v>46108</v>
      </c>
      <c r="C95" s="18" t="str">
        <f t="shared" si="1"/>
        <v>Mar-2026</v>
      </c>
      <c r="D95" s="11" t="s">
        <v>248</v>
      </c>
      <c r="E95" s="11" t="s">
        <v>162</v>
      </c>
      <c r="F95" s="11">
        <v>29139</v>
      </c>
      <c r="G95" s="11" t="s">
        <v>240</v>
      </c>
      <c r="H95" s="11">
        <v>1</v>
      </c>
      <c r="I95" s="11">
        <v>0</v>
      </c>
      <c r="J95" s="11" t="b">
        <v>0</v>
      </c>
      <c r="K95" s="11" t="b">
        <v>0</v>
      </c>
    </row>
    <row r="96" customFormat="1" ht="22.5" customHeight="1" spans="1:11">
      <c r="A96" s="11" t="s">
        <v>160</v>
      </c>
      <c r="B96" s="12">
        <v>46108</v>
      </c>
      <c r="C96" s="18" t="str">
        <f t="shared" si="1"/>
        <v>Mar-2026</v>
      </c>
      <c r="D96" s="11" t="s">
        <v>248</v>
      </c>
      <c r="E96" s="11" t="s">
        <v>214</v>
      </c>
      <c r="F96" s="11">
        <v>409</v>
      </c>
      <c r="G96" s="11" t="s">
        <v>241</v>
      </c>
      <c r="H96" s="11">
        <v>1</v>
      </c>
      <c r="I96" s="11">
        <v>0</v>
      </c>
      <c r="J96" s="11" t="b">
        <v>0</v>
      </c>
      <c r="K96" s="11" t="b">
        <v>0</v>
      </c>
    </row>
    <row r="97" ht="22.5" customHeight="1" spans="1:11">
      <c r="A97" s="11" t="s">
        <v>156</v>
      </c>
      <c r="B97" s="12">
        <v>46109</v>
      </c>
      <c r="C97" s="11" t="str">
        <f t="shared" si="1"/>
        <v>Mar-2026</v>
      </c>
      <c r="D97" s="11" t="s">
        <v>250</v>
      </c>
      <c r="E97" s="11" t="s">
        <v>158</v>
      </c>
      <c r="F97" s="11">
        <v>58095</v>
      </c>
      <c r="G97" s="11" t="s">
        <v>251</v>
      </c>
      <c r="H97" s="11">
        <v>2</v>
      </c>
      <c r="I97" s="11">
        <v>0</v>
      </c>
      <c r="J97" s="11" t="b">
        <v>0</v>
      </c>
      <c r="K97" s="11" t="b">
        <v>0</v>
      </c>
    </row>
    <row r="98" ht="22.5" customHeight="1" spans="1:11">
      <c r="A98" s="11" t="s">
        <v>161</v>
      </c>
      <c r="B98" s="12">
        <v>46109</v>
      </c>
      <c r="C98" s="11" t="str">
        <f t="shared" si="1"/>
        <v>Mar-2026</v>
      </c>
      <c r="D98" s="11" t="s">
        <v>250</v>
      </c>
      <c r="E98" s="11" t="s">
        <v>162</v>
      </c>
      <c r="F98" s="11">
        <v>29175</v>
      </c>
      <c r="G98" s="11" t="s">
        <v>240</v>
      </c>
      <c r="H98" s="11">
        <v>1</v>
      </c>
      <c r="I98" s="11">
        <v>0</v>
      </c>
      <c r="J98" s="11" t="b">
        <v>0</v>
      </c>
      <c r="K98" s="11" t="b">
        <v>0</v>
      </c>
    </row>
    <row r="99" ht="22.5" customHeight="1" spans="1:11">
      <c r="A99" s="11" t="s">
        <v>160</v>
      </c>
      <c r="B99" s="12">
        <v>46109</v>
      </c>
      <c r="C99" s="11" t="str">
        <f t="shared" si="1"/>
        <v>Mar-2026</v>
      </c>
      <c r="D99" s="11" t="s">
        <v>250</v>
      </c>
      <c r="E99" s="11" t="s">
        <v>214</v>
      </c>
      <c r="F99" s="11">
        <v>410</v>
      </c>
      <c r="G99" s="11" t="s">
        <v>241</v>
      </c>
      <c r="H99" s="11">
        <v>1</v>
      </c>
      <c r="I99" s="11">
        <v>0</v>
      </c>
      <c r="J99" s="11" t="b">
        <v>0</v>
      </c>
      <c r="K99" s="11" t="b">
        <v>0</v>
      </c>
    </row>
    <row r="100" ht="22.5" customHeight="1" spans="1:11">
      <c r="A100" s="11" t="s">
        <v>156</v>
      </c>
      <c r="B100" s="12">
        <v>46110</v>
      </c>
      <c r="C100" s="11" t="s">
        <v>166</v>
      </c>
      <c r="D100" s="11" t="s">
        <v>252</v>
      </c>
      <c r="E100" s="11" t="s">
        <v>158</v>
      </c>
      <c r="F100" s="11">
        <v>58348</v>
      </c>
      <c r="G100" s="11" t="s">
        <v>253</v>
      </c>
      <c r="H100" s="11">
        <v>2</v>
      </c>
      <c r="I100" s="11">
        <v>0</v>
      </c>
      <c r="J100" s="11" t="b">
        <v>0</v>
      </c>
      <c r="K100" s="11" t="b">
        <v>0</v>
      </c>
    </row>
    <row r="101" ht="22.5" customHeight="1" spans="1:11">
      <c r="A101" s="11" t="s">
        <v>161</v>
      </c>
      <c r="B101" s="12">
        <v>46110</v>
      </c>
      <c r="C101" s="11" t="s">
        <v>166</v>
      </c>
      <c r="D101" s="11" t="s">
        <v>252</v>
      </c>
      <c r="E101" s="11" t="s">
        <v>162</v>
      </c>
      <c r="F101" s="11">
        <v>29186</v>
      </c>
      <c r="G101" s="11" t="s">
        <v>240</v>
      </c>
      <c r="H101" s="11">
        <v>1</v>
      </c>
      <c r="I101" s="11">
        <v>0</v>
      </c>
      <c r="J101" s="11" t="b">
        <v>0</v>
      </c>
      <c r="K101" s="11" t="b">
        <v>0</v>
      </c>
    </row>
    <row r="102" ht="22.5" customHeight="1" spans="1:11">
      <c r="A102" s="11" t="s">
        <v>160</v>
      </c>
      <c r="B102" s="12">
        <v>46110</v>
      </c>
      <c r="C102" s="11" t="s">
        <v>166</v>
      </c>
      <c r="D102" s="11" t="s">
        <v>252</v>
      </c>
      <c r="E102" s="11" t="s">
        <v>214</v>
      </c>
      <c r="F102" s="11">
        <v>411</v>
      </c>
      <c r="G102" s="11" t="s">
        <v>241</v>
      </c>
      <c r="H102" s="11">
        <v>1</v>
      </c>
      <c r="I102" s="11">
        <v>0</v>
      </c>
      <c r="J102" s="11" t="b">
        <v>0</v>
      </c>
      <c r="K102" s="11" t="b">
        <v>0</v>
      </c>
    </row>
    <row r="103" ht="22.5" customHeight="1" spans="1:11">
      <c r="A103" s="11" t="s">
        <v>156</v>
      </c>
      <c r="B103" s="12">
        <v>46111</v>
      </c>
      <c r="C103" s="11" t="s">
        <v>166</v>
      </c>
      <c r="D103" s="11" t="s">
        <v>254</v>
      </c>
      <c r="E103" s="11" t="s">
        <v>158</v>
      </c>
      <c r="F103" s="11">
        <v>58567</v>
      </c>
      <c r="G103" s="11" t="s">
        <v>255</v>
      </c>
      <c r="H103" s="11">
        <v>2</v>
      </c>
      <c r="I103" s="11">
        <v>0</v>
      </c>
      <c r="J103" s="11" t="b">
        <v>0</v>
      </c>
      <c r="K103" s="11" t="b">
        <v>0</v>
      </c>
    </row>
    <row r="104" ht="22.5" customHeight="1" spans="1:11">
      <c r="A104" s="11" t="s">
        <v>161</v>
      </c>
      <c r="B104" s="12">
        <v>46111</v>
      </c>
      <c r="C104" s="11" t="s">
        <v>166</v>
      </c>
      <c r="D104" s="11" t="s">
        <v>254</v>
      </c>
      <c r="E104" s="11" t="s">
        <v>162</v>
      </c>
      <c r="F104" s="11">
        <v>29498</v>
      </c>
      <c r="G104" s="11" t="s">
        <v>256</v>
      </c>
      <c r="H104" s="11">
        <v>1</v>
      </c>
      <c r="I104" s="11">
        <v>0</v>
      </c>
      <c r="J104" s="11" t="b">
        <v>0</v>
      </c>
      <c r="K104" s="11" t="b">
        <v>0</v>
      </c>
    </row>
    <row r="105" ht="22.5" customHeight="1" spans="1:11">
      <c r="A105" s="11" t="s">
        <v>160</v>
      </c>
      <c r="B105" s="12">
        <v>46111</v>
      </c>
      <c r="C105" s="11" t="s">
        <v>166</v>
      </c>
      <c r="D105" s="11" t="s">
        <v>254</v>
      </c>
      <c r="E105" s="11" t="s">
        <v>214</v>
      </c>
      <c r="F105" s="11">
        <v>427</v>
      </c>
      <c r="G105" s="11" t="s">
        <v>241</v>
      </c>
      <c r="H105" s="11">
        <v>1</v>
      </c>
      <c r="I105" s="11">
        <v>0</v>
      </c>
      <c r="J105" s="11" t="b">
        <v>0</v>
      </c>
      <c r="K105" s="11" t="b">
        <v>0</v>
      </c>
    </row>
    <row r="106" ht="22.5" customHeight="1" spans="1:11">
      <c r="A106" s="11" t="s">
        <v>156</v>
      </c>
      <c r="B106" s="12">
        <v>46112</v>
      </c>
      <c r="C106" s="18" t="str">
        <f t="shared" ref="C106:C144" si="2">TEXT(B106,"MMM-YYYY")</f>
        <v>Mar-2026</v>
      </c>
      <c r="D106" s="11" t="s">
        <v>257</v>
      </c>
      <c r="E106" s="11" t="s">
        <v>158</v>
      </c>
      <c r="F106" s="11">
        <v>58730</v>
      </c>
      <c r="G106" s="11" t="s">
        <v>258</v>
      </c>
      <c r="H106" s="11">
        <v>2</v>
      </c>
      <c r="I106" s="11">
        <v>0</v>
      </c>
      <c r="J106" s="11" t="b">
        <v>0</v>
      </c>
      <c r="K106" s="11" t="b">
        <v>0</v>
      </c>
    </row>
    <row r="107" ht="22.5" customHeight="1" spans="1:11">
      <c r="A107" s="11" t="s">
        <v>161</v>
      </c>
      <c r="B107" s="12">
        <v>46112</v>
      </c>
      <c r="C107" s="18" t="str">
        <f t="shared" si="2"/>
        <v>Mar-2026</v>
      </c>
      <c r="D107" s="11" t="s">
        <v>257</v>
      </c>
      <c r="E107" s="11" t="s">
        <v>162</v>
      </c>
      <c r="F107" s="11">
        <v>29548</v>
      </c>
      <c r="G107" s="11" t="s">
        <v>256</v>
      </c>
      <c r="H107" s="11">
        <v>1</v>
      </c>
      <c r="I107" s="11">
        <v>0</v>
      </c>
      <c r="J107" s="11" t="b">
        <v>0</v>
      </c>
      <c r="K107" s="11" t="b">
        <v>0</v>
      </c>
    </row>
    <row r="108" ht="22.5" customHeight="1" spans="1:11">
      <c r="A108" s="11" t="s">
        <v>160</v>
      </c>
      <c r="B108" s="12">
        <v>46112</v>
      </c>
      <c r="C108" s="18" t="str">
        <f t="shared" si="2"/>
        <v>Mar-2026</v>
      </c>
      <c r="D108" s="11" t="s">
        <v>257</v>
      </c>
      <c r="E108" s="11" t="s">
        <v>214</v>
      </c>
      <c r="F108" s="11">
        <v>441</v>
      </c>
      <c r="G108" s="11" t="s">
        <v>241</v>
      </c>
      <c r="H108" s="11">
        <v>1</v>
      </c>
      <c r="I108" s="11">
        <v>0</v>
      </c>
      <c r="J108" s="11" t="b">
        <v>0</v>
      </c>
      <c r="K108" s="11" t="b">
        <v>0</v>
      </c>
    </row>
    <row r="109" ht="22.5" customHeight="1" spans="1:11">
      <c r="A109" s="11" t="s">
        <v>156</v>
      </c>
      <c r="B109" s="12">
        <v>46113</v>
      </c>
      <c r="C109" s="18" t="str">
        <f t="shared" si="2"/>
        <v>Apr-2026</v>
      </c>
      <c r="D109" s="11" t="s">
        <v>259</v>
      </c>
      <c r="E109" s="11" t="s">
        <v>158</v>
      </c>
      <c r="F109" s="11">
        <v>58847</v>
      </c>
      <c r="G109" s="11" t="s">
        <v>260</v>
      </c>
      <c r="H109" s="11">
        <v>2</v>
      </c>
      <c r="I109" s="11">
        <v>0</v>
      </c>
      <c r="J109" s="11" t="b">
        <v>0</v>
      </c>
      <c r="K109" s="11" t="b">
        <v>0</v>
      </c>
    </row>
    <row r="110" ht="22.5" customHeight="1" spans="1:11">
      <c r="A110" s="11" t="s">
        <v>161</v>
      </c>
      <c r="B110" s="12">
        <v>46113</v>
      </c>
      <c r="C110" s="18" t="str">
        <f t="shared" si="2"/>
        <v>Apr-2026</v>
      </c>
      <c r="D110" s="11" t="s">
        <v>259</v>
      </c>
      <c r="E110" s="11" t="s">
        <v>162</v>
      </c>
      <c r="F110" s="11">
        <v>29582</v>
      </c>
      <c r="G110" s="11" t="s">
        <v>256</v>
      </c>
      <c r="H110" s="11">
        <v>1</v>
      </c>
      <c r="I110" s="11">
        <v>0</v>
      </c>
      <c r="J110" s="11" t="b">
        <v>0</v>
      </c>
      <c r="K110" s="11" t="b">
        <v>0</v>
      </c>
    </row>
    <row r="111" ht="22.5" customHeight="1" spans="1:11">
      <c r="A111" s="11" t="s">
        <v>160</v>
      </c>
      <c r="B111" s="12">
        <v>46113</v>
      </c>
      <c r="C111" s="18" t="str">
        <f t="shared" si="2"/>
        <v>Apr-2026</v>
      </c>
      <c r="D111" s="11" t="s">
        <v>259</v>
      </c>
      <c r="E111" s="11" t="s">
        <v>214</v>
      </c>
      <c r="F111" s="11">
        <v>449</v>
      </c>
      <c r="G111" s="11" t="s">
        <v>241</v>
      </c>
      <c r="H111" s="11">
        <v>1</v>
      </c>
      <c r="I111" s="11">
        <v>0</v>
      </c>
      <c r="J111" s="11" t="b">
        <v>0</v>
      </c>
      <c r="K111" s="11" t="b">
        <v>0</v>
      </c>
    </row>
    <row r="112" ht="22.5" customHeight="1" spans="1:11">
      <c r="A112" s="11" t="s">
        <v>156</v>
      </c>
      <c r="B112" s="12">
        <v>46114</v>
      </c>
      <c r="C112" s="18" t="str">
        <f t="shared" si="2"/>
        <v>Apr-2026</v>
      </c>
      <c r="D112" s="11" t="s">
        <v>261</v>
      </c>
      <c r="E112" s="11" t="s">
        <v>158</v>
      </c>
      <c r="F112" s="11">
        <v>59075</v>
      </c>
      <c r="G112" s="11" t="s">
        <v>262</v>
      </c>
      <c r="H112" s="11">
        <v>2</v>
      </c>
      <c r="I112" s="11">
        <v>0</v>
      </c>
      <c r="J112" s="11" t="b">
        <v>0</v>
      </c>
      <c r="K112" s="11" t="b">
        <v>0</v>
      </c>
    </row>
    <row r="113" ht="22.5" customHeight="1" spans="1:11">
      <c r="A113" s="11" t="s">
        <v>161</v>
      </c>
      <c r="B113" s="12">
        <v>46114</v>
      </c>
      <c r="C113" s="18" t="str">
        <f t="shared" si="2"/>
        <v>Apr-2026</v>
      </c>
      <c r="D113" s="11" t="s">
        <v>261</v>
      </c>
      <c r="E113" s="11" t="s">
        <v>162</v>
      </c>
      <c r="F113" s="11">
        <v>29598</v>
      </c>
      <c r="G113" s="11" t="s">
        <v>256</v>
      </c>
      <c r="H113" s="11">
        <v>1</v>
      </c>
      <c r="I113" s="11">
        <v>0</v>
      </c>
      <c r="J113" s="11" t="b">
        <v>0</v>
      </c>
      <c r="K113" s="11" t="b">
        <v>0</v>
      </c>
    </row>
    <row r="114" ht="22.5" customHeight="1" spans="1:11">
      <c r="A114" s="11" t="s">
        <v>160</v>
      </c>
      <c r="B114" s="12">
        <v>46114</v>
      </c>
      <c r="C114" s="18" t="str">
        <f t="shared" si="2"/>
        <v>Apr-2026</v>
      </c>
      <c r="D114" s="11" t="s">
        <v>261</v>
      </c>
      <c r="E114" s="11" t="s">
        <v>214</v>
      </c>
      <c r="F114" s="11">
        <v>451</v>
      </c>
      <c r="G114" s="11" t="s">
        <v>241</v>
      </c>
      <c r="H114" s="11">
        <v>1</v>
      </c>
      <c r="I114" s="11">
        <v>0</v>
      </c>
      <c r="J114" s="11" t="b">
        <v>0</v>
      </c>
      <c r="K114" s="11" t="b">
        <v>0</v>
      </c>
    </row>
    <row r="115" ht="22.5" customHeight="1" spans="1:11">
      <c r="A115" s="11" t="s">
        <v>156</v>
      </c>
      <c r="B115" s="12">
        <v>46115</v>
      </c>
      <c r="C115" s="18" t="str">
        <f t="shared" si="2"/>
        <v>Apr-2026</v>
      </c>
      <c r="D115" s="11" t="s">
        <v>263</v>
      </c>
      <c r="E115" s="11" t="s">
        <v>158</v>
      </c>
      <c r="F115" s="11">
        <v>59193</v>
      </c>
      <c r="G115" s="11" t="s">
        <v>264</v>
      </c>
      <c r="H115" s="11">
        <v>2</v>
      </c>
      <c r="I115" s="11">
        <v>0</v>
      </c>
      <c r="J115" s="11" t="b">
        <v>0</v>
      </c>
      <c r="K115" s="11" t="b">
        <v>0</v>
      </c>
    </row>
    <row r="116" ht="22.5" customHeight="1" spans="1:11">
      <c r="A116" s="11" t="s">
        <v>161</v>
      </c>
      <c r="B116" s="12">
        <v>46115</v>
      </c>
      <c r="C116" s="18" t="str">
        <f t="shared" si="2"/>
        <v>Apr-2026</v>
      </c>
      <c r="D116" s="11" t="s">
        <v>263</v>
      </c>
      <c r="E116" s="11" t="s">
        <v>162</v>
      </c>
      <c r="F116" s="11">
        <v>29635</v>
      </c>
      <c r="G116" s="11" t="s">
        <v>256</v>
      </c>
      <c r="H116" s="11">
        <v>1</v>
      </c>
      <c r="I116" s="11">
        <v>0</v>
      </c>
      <c r="J116" s="11" t="b">
        <v>0</v>
      </c>
      <c r="K116" s="11" t="b">
        <v>0</v>
      </c>
    </row>
    <row r="117" ht="22.5" customHeight="1" spans="1:11">
      <c r="A117" s="11" t="s">
        <v>160</v>
      </c>
      <c r="B117" s="12">
        <v>46115</v>
      </c>
      <c r="C117" s="18" t="str">
        <f t="shared" si="2"/>
        <v>Apr-2026</v>
      </c>
      <c r="D117" s="11" t="s">
        <v>263</v>
      </c>
      <c r="E117" s="11" t="s">
        <v>214</v>
      </c>
      <c r="F117" s="11">
        <v>454</v>
      </c>
      <c r="G117" s="11" t="s">
        <v>241</v>
      </c>
      <c r="H117" s="11">
        <v>1</v>
      </c>
      <c r="I117" s="11">
        <v>0</v>
      </c>
      <c r="J117" s="11" t="b">
        <v>0</v>
      </c>
      <c r="K117" s="11" t="b">
        <v>0</v>
      </c>
    </row>
    <row r="118" ht="22.5" customHeight="1" spans="1:11">
      <c r="A118" s="11" t="s">
        <v>156</v>
      </c>
      <c r="B118" s="12">
        <v>46116</v>
      </c>
      <c r="C118" s="18" t="str">
        <f t="shared" si="2"/>
        <v>Apr-2026</v>
      </c>
      <c r="D118" s="11" t="s">
        <v>265</v>
      </c>
      <c r="E118" s="11" t="s">
        <v>158</v>
      </c>
      <c r="F118" s="11">
        <v>59290</v>
      </c>
      <c r="G118" s="11" t="s">
        <v>266</v>
      </c>
      <c r="H118" s="11">
        <v>2</v>
      </c>
      <c r="I118" s="11">
        <v>0</v>
      </c>
      <c r="J118" s="11" t="b">
        <v>0</v>
      </c>
      <c r="K118" s="11" t="b">
        <v>0</v>
      </c>
    </row>
    <row r="119" ht="22.5" customHeight="1" spans="1:11">
      <c r="A119" s="11" t="s">
        <v>161</v>
      </c>
      <c r="B119" s="12">
        <v>46116</v>
      </c>
      <c r="C119" s="18" t="str">
        <f t="shared" si="2"/>
        <v>Apr-2026</v>
      </c>
      <c r="D119" s="11" t="s">
        <v>265</v>
      </c>
      <c r="E119" s="11" t="s">
        <v>162</v>
      </c>
      <c r="F119" s="11">
        <v>29654</v>
      </c>
      <c r="G119" s="11" t="s">
        <v>256</v>
      </c>
      <c r="H119" s="11">
        <v>1</v>
      </c>
      <c r="I119" s="11">
        <v>0</v>
      </c>
      <c r="J119" s="11" t="b">
        <v>0</v>
      </c>
      <c r="K119" s="11" t="b">
        <v>0</v>
      </c>
    </row>
    <row r="120" ht="22.5" customHeight="1" spans="1:11">
      <c r="A120" s="11" t="s">
        <v>160</v>
      </c>
      <c r="B120" s="12">
        <v>46116</v>
      </c>
      <c r="C120" s="18" t="str">
        <f t="shared" si="2"/>
        <v>Apr-2026</v>
      </c>
      <c r="D120" s="11" t="s">
        <v>265</v>
      </c>
      <c r="E120" s="11" t="s">
        <v>214</v>
      </c>
      <c r="F120" s="11">
        <v>454</v>
      </c>
      <c r="G120" s="11" t="s">
        <v>241</v>
      </c>
      <c r="H120" s="11">
        <v>1</v>
      </c>
      <c r="I120" s="11">
        <v>0</v>
      </c>
      <c r="J120" s="11" t="b">
        <v>0</v>
      </c>
      <c r="K120" s="11" t="b">
        <v>0</v>
      </c>
    </row>
    <row r="121" ht="22.5" customHeight="1" spans="1:11">
      <c r="A121" s="11" t="s">
        <v>156</v>
      </c>
      <c r="B121" s="12">
        <v>46117</v>
      </c>
      <c r="C121" s="18" t="str">
        <f t="shared" si="2"/>
        <v>Apr-2026</v>
      </c>
      <c r="D121" s="11" t="s">
        <v>267</v>
      </c>
      <c r="E121" s="11" t="s">
        <v>158</v>
      </c>
      <c r="F121" s="11">
        <v>59385</v>
      </c>
      <c r="G121" s="11" t="s">
        <v>268</v>
      </c>
      <c r="H121" s="11">
        <v>2</v>
      </c>
      <c r="I121" s="11">
        <v>0</v>
      </c>
      <c r="J121" s="11" t="b">
        <v>0</v>
      </c>
      <c r="K121" s="11" t="b">
        <v>0</v>
      </c>
    </row>
    <row r="122" ht="22.5" customHeight="1" spans="1:11">
      <c r="A122" s="11" t="s">
        <v>161</v>
      </c>
      <c r="B122" s="12">
        <v>46117</v>
      </c>
      <c r="C122" s="18" t="str">
        <f t="shared" si="2"/>
        <v>Apr-2026</v>
      </c>
      <c r="D122" s="11" t="s">
        <v>267</v>
      </c>
      <c r="E122" s="11" t="s">
        <v>162</v>
      </c>
      <c r="F122" s="11">
        <v>29676</v>
      </c>
      <c r="G122" s="11" t="s">
        <v>256</v>
      </c>
      <c r="H122" s="11">
        <v>1</v>
      </c>
      <c r="I122" s="11">
        <v>0</v>
      </c>
      <c r="J122" s="11" t="b">
        <v>0</v>
      </c>
      <c r="K122" s="11" t="b">
        <v>0</v>
      </c>
    </row>
    <row r="123" ht="22.5" customHeight="1" spans="1:11">
      <c r="A123" s="11" t="s">
        <v>160</v>
      </c>
      <c r="B123" s="12">
        <v>46117</v>
      </c>
      <c r="C123" s="18" t="str">
        <f t="shared" si="2"/>
        <v>Apr-2026</v>
      </c>
      <c r="D123" s="11" t="s">
        <v>267</v>
      </c>
      <c r="E123" s="11" t="s">
        <v>214</v>
      </c>
      <c r="F123" s="11">
        <v>455</v>
      </c>
      <c r="G123" s="11" t="s">
        <v>241</v>
      </c>
      <c r="H123" s="11">
        <v>1</v>
      </c>
      <c r="I123" s="11">
        <v>0</v>
      </c>
      <c r="J123" s="11" t="b">
        <v>0</v>
      </c>
      <c r="K123" s="11" t="b">
        <v>0</v>
      </c>
    </row>
    <row r="124" ht="22.5" customHeight="1" spans="1:11">
      <c r="A124" s="11" t="s">
        <v>156</v>
      </c>
      <c r="B124" s="12">
        <v>46118</v>
      </c>
      <c r="C124" s="18" t="str">
        <f t="shared" si="2"/>
        <v>Apr-2026</v>
      </c>
      <c r="D124" s="11" t="s">
        <v>269</v>
      </c>
      <c r="E124" s="11" t="s">
        <v>158</v>
      </c>
      <c r="F124" s="11">
        <v>59470</v>
      </c>
      <c r="G124" s="11" t="s">
        <v>270</v>
      </c>
      <c r="H124" s="11">
        <v>2</v>
      </c>
      <c r="I124" s="11">
        <v>0</v>
      </c>
      <c r="J124" s="11" t="b">
        <v>0</v>
      </c>
      <c r="K124" s="11" t="b">
        <v>0</v>
      </c>
    </row>
    <row r="125" ht="22.5" customHeight="1" spans="1:11">
      <c r="A125" s="11" t="s">
        <v>161</v>
      </c>
      <c r="B125" s="12">
        <v>46118</v>
      </c>
      <c r="C125" s="18" t="str">
        <f t="shared" si="2"/>
        <v>Apr-2026</v>
      </c>
      <c r="D125" s="11" t="s">
        <v>269</v>
      </c>
      <c r="E125" s="11" t="s">
        <v>162</v>
      </c>
      <c r="F125" s="11">
        <v>29774</v>
      </c>
      <c r="G125" s="11" t="s">
        <v>256</v>
      </c>
      <c r="H125" s="11">
        <v>1</v>
      </c>
      <c r="I125" s="11">
        <v>0</v>
      </c>
      <c r="J125" s="11" t="b">
        <v>0</v>
      </c>
      <c r="K125" s="11" t="b">
        <v>0</v>
      </c>
    </row>
    <row r="126" ht="22.5" customHeight="1" spans="1:11">
      <c r="A126" s="11" t="s">
        <v>160</v>
      </c>
      <c r="B126" s="12">
        <v>46118</v>
      </c>
      <c r="C126" s="18" t="str">
        <f t="shared" si="2"/>
        <v>Apr-2026</v>
      </c>
      <c r="D126" s="11" t="s">
        <v>269</v>
      </c>
      <c r="E126" s="11" t="s">
        <v>214</v>
      </c>
      <c r="F126" s="11">
        <v>460</v>
      </c>
      <c r="G126" s="11" t="s">
        <v>241</v>
      </c>
      <c r="H126" s="11">
        <v>1</v>
      </c>
      <c r="I126" s="11">
        <v>0</v>
      </c>
      <c r="J126" s="11" t="b">
        <v>0</v>
      </c>
      <c r="K126" s="11" t="b">
        <v>0</v>
      </c>
    </row>
    <row r="127" ht="22.5" customHeight="1" spans="1:11">
      <c r="A127" s="11" t="s">
        <v>156</v>
      </c>
      <c r="B127" s="12">
        <v>46119</v>
      </c>
      <c r="C127" s="18" t="str">
        <f t="shared" si="2"/>
        <v>Apr-2026</v>
      </c>
      <c r="D127" s="11" t="s">
        <v>271</v>
      </c>
      <c r="E127" s="11" t="s">
        <v>158</v>
      </c>
      <c r="F127" s="11">
        <v>59713</v>
      </c>
      <c r="G127" s="11" t="s">
        <v>272</v>
      </c>
      <c r="H127" s="11">
        <v>2</v>
      </c>
      <c r="I127" s="11">
        <v>0</v>
      </c>
      <c r="J127" s="11" t="b">
        <v>0</v>
      </c>
      <c r="K127" s="11" t="b">
        <v>0</v>
      </c>
    </row>
    <row r="128" ht="22.5" customHeight="1" spans="1:11">
      <c r="A128" s="11" t="s">
        <v>161</v>
      </c>
      <c r="B128" s="12">
        <v>46119</v>
      </c>
      <c r="C128" s="18" t="str">
        <f t="shared" si="2"/>
        <v>Apr-2026</v>
      </c>
      <c r="D128" s="11" t="s">
        <v>271</v>
      </c>
      <c r="E128" s="11" t="s">
        <v>162</v>
      </c>
      <c r="F128" s="11">
        <v>29892</v>
      </c>
      <c r="G128" s="11" t="s">
        <v>273</v>
      </c>
      <c r="H128" s="11">
        <v>1</v>
      </c>
      <c r="I128" s="11">
        <v>0</v>
      </c>
      <c r="J128" s="11" t="b">
        <v>0</v>
      </c>
      <c r="K128" s="11" t="b">
        <v>0</v>
      </c>
    </row>
    <row r="129" ht="22.5" customHeight="1" spans="1:11">
      <c r="A129" s="11" t="s">
        <v>160</v>
      </c>
      <c r="B129" s="12">
        <v>46119</v>
      </c>
      <c r="C129" s="18" t="str">
        <f t="shared" si="2"/>
        <v>Apr-2026</v>
      </c>
      <c r="D129" s="11" t="s">
        <v>271</v>
      </c>
      <c r="E129" s="11" t="s">
        <v>214</v>
      </c>
      <c r="F129" s="11">
        <v>493</v>
      </c>
      <c r="G129" s="11" t="s">
        <v>274</v>
      </c>
      <c r="H129" s="11">
        <v>1</v>
      </c>
      <c r="I129" s="11">
        <v>0</v>
      </c>
      <c r="J129" s="11" t="b">
        <v>0</v>
      </c>
      <c r="K129" s="11" t="b">
        <v>0</v>
      </c>
    </row>
    <row r="130" ht="22.5" customHeight="1" spans="1:11">
      <c r="A130" s="11" t="s">
        <v>156</v>
      </c>
      <c r="B130" s="12">
        <v>46120</v>
      </c>
      <c r="C130" s="18" t="str">
        <f t="shared" si="2"/>
        <v>Apr-2026</v>
      </c>
      <c r="D130" s="11" t="s">
        <v>275</v>
      </c>
      <c r="E130" s="11" t="s">
        <v>158</v>
      </c>
      <c r="F130" s="11">
        <v>59981</v>
      </c>
      <c r="G130" s="11" t="s">
        <v>276</v>
      </c>
      <c r="H130" s="11">
        <v>2</v>
      </c>
      <c r="I130" s="11">
        <v>0</v>
      </c>
      <c r="J130" s="11" t="b">
        <v>0</v>
      </c>
      <c r="K130" s="11" t="b">
        <v>0</v>
      </c>
    </row>
    <row r="131" ht="22.5" customHeight="1" spans="1:11">
      <c r="A131" s="11" t="s">
        <v>161</v>
      </c>
      <c r="B131" s="12">
        <v>46120</v>
      </c>
      <c r="C131" s="18" t="str">
        <f t="shared" si="2"/>
        <v>Apr-2026</v>
      </c>
      <c r="D131" s="11" t="s">
        <v>275</v>
      </c>
      <c r="E131" s="11" t="s">
        <v>162</v>
      </c>
      <c r="F131" s="11">
        <v>29928</v>
      </c>
      <c r="G131" s="11" t="s">
        <v>273</v>
      </c>
      <c r="H131" s="11">
        <v>1</v>
      </c>
      <c r="I131" s="11">
        <v>0</v>
      </c>
      <c r="J131" s="11" t="b">
        <v>0</v>
      </c>
      <c r="K131" s="11" t="b">
        <v>0</v>
      </c>
    </row>
    <row r="132" ht="22.5" customHeight="1" spans="1:11">
      <c r="A132" s="11" t="s">
        <v>160</v>
      </c>
      <c r="B132" s="12">
        <v>46120</v>
      </c>
      <c r="C132" s="18" t="str">
        <f t="shared" si="2"/>
        <v>Apr-2026</v>
      </c>
      <c r="D132" s="11" t="s">
        <v>275</v>
      </c>
      <c r="E132" s="11" t="s">
        <v>214</v>
      </c>
      <c r="F132" s="11">
        <v>500</v>
      </c>
      <c r="G132" s="11" t="s">
        <v>274</v>
      </c>
      <c r="H132" s="11">
        <v>1</v>
      </c>
      <c r="I132" s="11">
        <v>0</v>
      </c>
      <c r="J132" s="11" t="b">
        <v>0</v>
      </c>
      <c r="K132" s="11" t="b">
        <v>0</v>
      </c>
    </row>
    <row r="133" ht="22.5" customHeight="1" spans="1:11">
      <c r="A133" s="11" t="s">
        <v>156</v>
      </c>
      <c r="B133" s="12">
        <v>46120</v>
      </c>
      <c r="C133" s="18" t="str">
        <f t="shared" si="2"/>
        <v>Apr-2026</v>
      </c>
      <c r="D133" s="11" t="s">
        <v>277</v>
      </c>
      <c r="E133" s="11" t="s">
        <v>158</v>
      </c>
      <c r="F133" s="11">
        <v>60091</v>
      </c>
      <c r="G133" s="11" t="s">
        <v>278</v>
      </c>
      <c r="H133" s="11">
        <v>2</v>
      </c>
      <c r="I133" s="11">
        <v>0</v>
      </c>
      <c r="J133" s="11" t="b">
        <v>0</v>
      </c>
      <c r="K133" s="11" t="b">
        <v>0</v>
      </c>
    </row>
    <row r="134" ht="22.5" customHeight="1" spans="1:11">
      <c r="A134" s="11" t="s">
        <v>161</v>
      </c>
      <c r="B134" s="12">
        <v>46120</v>
      </c>
      <c r="C134" s="18" t="str">
        <f t="shared" si="2"/>
        <v>Apr-2026</v>
      </c>
      <c r="D134" s="11" t="s">
        <v>277</v>
      </c>
      <c r="E134" s="11" t="s">
        <v>162</v>
      </c>
      <c r="F134" s="11">
        <v>29948</v>
      </c>
      <c r="G134" s="11" t="s">
        <v>273</v>
      </c>
      <c r="H134" s="11">
        <v>1</v>
      </c>
      <c r="I134" s="11">
        <v>0</v>
      </c>
      <c r="J134" s="11" t="b">
        <v>0</v>
      </c>
      <c r="K134" s="11" t="b">
        <v>0</v>
      </c>
    </row>
    <row r="135" ht="22.5" customHeight="1" spans="1:11">
      <c r="A135" s="11" t="s">
        <v>160</v>
      </c>
      <c r="B135" s="12">
        <v>46120</v>
      </c>
      <c r="C135" s="18" t="str">
        <f t="shared" si="2"/>
        <v>Apr-2026</v>
      </c>
      <c r="D135" s="11" t="s">
        <v>277</v>
      </c>
      <c r="E135" s="11" t="s">
        <v>214</v>
      </c>
      <c r="F135" s="11">
        <v>502</v>
      </c>
      <c r="G135" s="11" t="s">
        <v>274</v>
      </c>
      <c r="H135" s="11">
        <v>1</v>
      </c>
      <c r="I135" s="11">
        <v>0</v>
      </c>
      <c r="J135" s="11" t="b">
        <v>0</v>
      </c>
      <c r="K135" s="11" t="b">
        <v>0</v>
      </c>
    </row>
    <row r="136" ht="22.5" customHeight="1" spans="1:11">
      <c r="A136" s="11" t="s">
        <v>156</v>
      </c>
      <c r="B136" s="12">
        <v>46121</v>
      </c>
      <c r="C136" s="18" t="str">
        <f t="shared" si="2"/>
        <v>Apr-2026</v>
      </c>
      <c r="D136" s="11" t="s">
        <v>279</v>
      </c>
      <c r="E136" s="11" t="s">
        <v>158</v>
      </c>
      <c r="F136" s="11">
        <v>60146</v>
      </c>
      <c r="G136" s="11" t="s">
        <v>280</v>
      </c>
      <c r="H136" s="11">
        <v>2</v>
      </c>
      <c r="I136" s="11">
        <v>0</v>
      </c>
      <c r="J136" s="11" t="b">
        <v>0</v>
      </c>
      <c r="K136" s="11" t="b">
        <v>0</v>
      </c>
    </row>
    <row r="137" ht="22.5" customHeight="1" spans="1:11">
      <c r="A137" s="11" t="s">
        <v>161</v>
      </c>
      <c r="B137" s="12">
        <v>46121</v>
      </c>
      <c r="C137" s="18" t="str">
        <f t="shared" si="2"/>
        <v>Apr-2026</v>
      </c>
      <c r="D137" s="11" t="s">
        <v>279</v>
      </c>
      <c r="E137" s="11" t="s">
        <v>162</v>
      </c>
      <c r="F137" s="11">
        <v>30019</v>
      </c>
      <c r="G137" s="11" t="s">
        <v>281</v>
      </c>
      <c r="H137" s="11">
        <v>1</v>
      </c>
      <c r="I137" s="11">
        <v>0</v>
      </c>
      <c r="J137" s="11" t="b">
        <v>0</v>
      </c>
      <c r="K137" s="11" t="b">
        <v>0</v>
      </c>
    </row>
    <row r="138" ht="22.5" customHeight="1" spans="1:11">
      <c r="A138" s="11" t="s">
        <v>160</v>
      </c>
      <c r="B138" s="12">
        <v>46121</v>
      </c>
      <c r="C138" s="18" t="str">
        <f t="shared" si="2"/>
        <v>Apr-2026</v>
      </c>
      <c r="D138" s="11" t="s">
        <v>279</v>
      </c>
      <c r="E138" s="11" t="s">
        <v>214</v>
      </c>
      <c r="F138" s="11">
        <v>509</v>
      </c>
      <c r="G138" s="11" t="s">
        <v>274</v>
      </c>
      <c r="H138" s="11">
        <v>1</v>
      </c>
      <c r="I138" s="11">
        <v>0</v>
      </c>
      <c r="J138" s="11" t="b">
        <v>0</v>
      </c>
      <c r="K138" s="11" t="b">
        <v>0</v>
      </c>
    </row>
    <row r="139" ht="22.5" customHeight="1" spans="1:11">
      <c r="A139" s="11" t="s">
        <v>156</v>
      </c>
      <c r="B139" s="12">
        <v>46122</v>
      </c>
      <c r="C139" s="18" t="str">
        <f t="shared" si="2"/>
        <v>Apr-2026</v>
      </c>
      <c r="D139" s="11" t="s">
        <v>282</v>
      </c>
      <c r="E139" s="11" t="s">
        <v>158</v>
      </c>
      <c r="F139" s="11">
        <v>60278</v>
      </c>
      <c r="G139" s="11" t="s">
        <v>283</v>
      </c>
      <c r="H139" s="11">
        <v>2</v>
      </c>
      <c r="I139" s="11">
        <v>0</v>
      </c>
      <c r="J139" s="11" t="b">
        <v>0</v>
      </c>
      <c r="K139" s="11" t="b">
        <v>0</v>
      </c>
    </row>
    <row r="140" ht="22.5" customHeight="1" spans="1:11">
      <c r="A140" s="11" t="s">
        <v>161</v>
      </c>
      <c r="B140" s="12">
        <v>46122</v>
      </c>
      <c r="C140" s="18" t="str">
        <f t="shared" si="2"/>
        <v>Apr-2026</v>
      </c>
      <c r="D140" s="11" t="s">
        <v>282</v>
      </c>
      <c r="E140" s="11" t="s">
        <v>162</v>
      </c>
      <c r="F140" s="11">
        <v>30058</v>
      </c>
      <c r="G140" s="11" t="s">
        <v>281</v>
      </c>
      <c r="H140" s="11">
        <v>1</v>
      </c>
      <c r="I140" s="11">
        <v>0</v>
      </c>
      <c r="J140" s="11" t="b">
        <v>0</v>
      </c>
      <c r="K140" s="11" t="b">
        <v>0</v>
      </c>
    </row>
    <row r="141" ht="22.5" customHeight="1" spans="1:11">
      <c r="A141" s="11" t="s">
        <v>160</v>
      </c>
      <c r="B141" s="12">
        <v>46122</v>
      </c>
      <c r="C141" s="18" t="str">
        <f t="shared" si="2"/>
        <v>Apr-2026</v>
      </c>
      <c r="D141" s="11" t="s">
        <v>282</v>
      </c>
      <c r="E141" s="11" t="s">
        <v>214</v>
      </c>
      <c r="F141" s="11">
        <v>540</v>
      </c>
      <c r="G141" s="11" t="s">
        <v>284</v>
      </c>
      <c r="H141" s="11">
        <v>1</v>
      </c>
      <c r="I141" s="11">
        <v>0</v>
      </c>
      <c r="J141" s="11" t="b">
        <v>0</v>
      </c>
      <c r="K141" s="11" t="b">
        <v>0</v>
      </c>
    </row>
    <row r="142" ht="22.5" customHeight="1" spans="1:11">
      <c r="A142" s="11" t="s">
        <v>156</v>
      </c>
      <c r="B142" s="12">
        <v>46123</v>
      </c>
      <c r="C142" s="18" t="str">
        <f t="shared" si="2"/>
        <v>Apr-2026</v>
      </c>
      <c r="D142" s="11" t="s">
        <v>285</v>
      </c>
      <c r="E142" s="11" t="s">
        <v>158</v>
      </c>
      <c r="F142" s="11">
        <v>60444</v>
      </c>
      <c r="G142" s="11" t="s">
        <v>286</v>
      </c>
      <c r="H142" s="11">
        <v>2</v>
      </c>
      <c r="I142" s="11">
        <v>0</v>
      </c>
      <c r="J142" s="11" t="b">
        <v>0</v>
      </c>
      <c r="K142" s="11" t="b">
        <v>0</v>
      </c>
    </row>
    <row r="143" ht="22.5" customHeight="1" spans="1:11">
      <c r="A143" s="11" t="s">
        <v>161</v>
      </c>
      <c r="B143" s="12">
        <v>46123</v>
      </c>
      <c r="C143" s="18" t="str">
        <f t="shared" si="2"/>
        <v>Apr-2026</v>
      </c>
      <c r="D143" s="11" t="s">
        <v>285</v>
      </c>
      <c r="E143" s="11" t="s">
        <v>162</v>
      </c>
      <c r="F143" s="11">
        <v>30087</v>
      </c>
      <c r="G143" s="11" t="s">
        <v>281</v>
      </c>
      <c r="H143" s="11">
        <v>1</v>
      </c>
      <c r="I143" s="11">
        <v>0</v>
      </c>
      <c r="J143" s="11" t="b">
        <v>0</v>
      </c>
      <c r="K143" s="11" t="b">
        <v>0</v>
      </c>
    </row>
    <row r="144" ht="22.5" customHeight="1" spans="1:11">
      <c r="A144" s="11" t="s">
        <v>160</v>
      </c>
      <c r="B144" s="12">
        <v>46123</v>
      </c>
      <c r="C144" s="18" t="str">
        <f t="shared" si="2"/>
        <v>Apr-2026</v>
      </c>
      <c r="D144" s="11" t="s">
        <v>285</v>
      </c>
      <c r="E144" s="11" t="s">
        <v>214</v>
      </c>
      <c r="F144" s="11">
        <v>549</v>
      </c>
      <c r="G144" s="11" t="s">
        <v>284</v>
      </c>
      <c r="H144" s="11">
        <v>1</v>
      </c>
      <c r="I144" s="11">
        <v>0</v>
      </c>
      <c r="J144" s="11" t="b">
        <v>0</v>
      </c>
      <c r="K144" s="11" t="b">
        <v>0</v>
      </c>
    </row>
  </sheetData>
  <pageMargins left="0.75" right="0.75" top="1" bottom="1" header="0.5" footer="0.5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6"/>
  </sheetPr>
  <dimension ref="D1:H7"/>
  <sheetViews>
    <sheetView tabSelected="1" workbookViewId="0">
      <selection activeCell="K4" sqref="K4"/>
    </sheetView>
  </sheetViews>
  <sheetFormatPr defaultColWidth="9.14285714285714" defaultRowHeight="15" outlineLevelRow="6" outlineLevelCol="7"/>
  <cols>
    <col min="1" max="1" width="15.6666666666667"/>
    <col min="2" max="2" width="11.1428571428571"/>
    <col min="3" max="3" width="9.71428571428571"/>
    <col min="4" max="4" width="23.4285714285714"/>
    <col min="5" max="5" width="32.8571428571429"/>
    <col min="32" max="32" width="9.71428571428571"/>
    <col min="33" max="33" width="11.1428571428571"/>
    <col min="34" max="34" width="9.71428571428571"/>
    <col min="35" max="35" width="23.4285714285714"/>
    <col min="36" max="36" width="32.8571428571429"/>
    <col min="37" max="37" width="23.4285714285714"/>
    <col min="38" max="38" width="7.42857142857143"/>
    <col min="39" max="63" width="11.1428571428571"/>
    <col min="64" max="64" width="11.8571428571429"/>
  </cols>
  <sheetData>
    <row r="1" spans="4:8">
      <c r="D1" s="1" t="s">
        <v>287</v>
      </c>
      <c r="E1" s="2"/>
      <c r="F1" s="2"/>
      <c r="G1" s="2"/>
      <c r="H1" s="3"/>
    </row>
    <row r="2" ht="15.75" spans="4:8">
      <c r="D2" s="4"/>
      <c r="E2" s="5"/>
      <c r="F2" s="5"/>
      <c r="G2" s="5"/>
      <c r="H2" s="6"/>
    </row>
    <row r="5" ht="15.75"/>
    <row r="6" spans="4:8">
      <c r="D6" s="7" t="s">
        <v>288</v>
      </c>
      <c r="E6" s="8"/>
    </row>
    <row r="7" ht="15.75" spans="4:8">
      <c r="D7" s="9"/>
      <c r="E7" s="10"/>
    </row>
  </sheetData>
  <mergeCells count="2">
    <mergeCell ref="D1:H2"/>
    <mergeCell ref="D6:E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DOCKERS_RAWDATA</vt:lpstr>
      <vt:lpstr>DOCKERS_TABLE</vt:lpstr>
      <vt:lpstr>DOCKERS_DASHBOARD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91805</dc:creator>
  <cp:lastModifiedBy>Harveen Kaur</cp:lastModifiedBy>
  <dcterms:created xsi:type="dcterms:W3CDTF">2026-03-27T11:26:00Z</dcterms:created>
  <dcterms:modified xsi:type="dcterms:W3CDTF">2026-04-11T04:52:28Z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CB0CECA407C140B88B56539AB6100050_13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